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ollossamy/Desktop/KEX/"/>
    </mc:Choice>
  </mc:AlternateContent>
  <xr:revisionPtr revIDLastSave="0" documentId="8_{B5CE5252-4E7A-774B-9457-933C0877F775}" xr6:coauthVersionLast="47" xr6:coauthVersionMax="47" xr10:uidLastSave="{00000000-0000-0000-0000-000000000000}"/>
  <bookViews>
    <workbookView xWindow="0" yWindow="0" windowWidth="28800" windowHeight="18000" xr2:uid="{D0D0BF84-24D2-3E41-B694-B2E1EE173592}"/>
  </bookViews>
  <sheets>
    <sheet name="Avkastning - Analys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  <sheet name="Returns" sheetId="14" r:id="rId11"/>
    <sheet name="Robustness analysis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15" l="1"/>
  <c r="C85" i="15"/>
  <c r="D84" i="15"/>
  <c r="C84" i="15"/>
  <c r="D83" i="15"/>
  <c r="C83" i="15"/>
  <c r="D82" i="15"/>
  <c r="C82" i="15"/>
  <c r="D81" i="15"/>
  <c r="C81" i="15"/>
  <c r="D80" i="15"/>
  <c r="C80" i="15"/>
  <c r="D79" i="15"/>
  <c r="C79" i="15"/>
  <c r="D78" i="15"/>
  <c r="C78" i="15"/>
  <c r="D77" i="15"/>
  <c r="D86" i="15" s="1"/>
  <c r="C77" i="15"/>
  <c r="C86" i="15" s="1"/>
  <c r="D56" i="15"/>
  <c r="C56" i="15"/>
  <c r="D55" i="15"/>
  <c r="C55" i="15"/>
  <c r="D54" i="15"/>
  <c r="C54" i="15"/>
  <c r="D53" i="15"/>
  <c r="C53" i="15"/>
  <c r="D52" i="15"/>
  <c r="C52" i="15"/>
  <c r="D51" i="15"/>
  <c r="C51" i="15"/>
  <c r="D50" i="15"/>
  <c r="C50" i="15"/>
  <c r="D49" i="15"/>
  <c r="C49" i="15"/>
  <c r="D48" i="15"/>
  <c r="D57" i="15" s="1"/>
  <c r="C48" i="15"/>
  <c r="C57" i="15" s="1"/>
  <c r="D27" i="15"/>
  <c r="C27" i="15"/>
  <c r="D26" i="15"/>
  <c r="C26" i="15"/>
  <c r="D25" i="15"/>
  <c r="C25" i="15"/>
  <c r="D24" i="15"/>
  <c r="C24" i="15"/>
  <c r="D23" i="15"/>
  <c r="C23" i="15"/>
  <c r="D22" i="15"/>
  <c r="C22" i="15"/>
  <c r="D21" i="15"/>
  <c r="C21" i="15"/>
  <c r="D20" i="15"/>
  <c r="D28" i="15" s="1"/>
  <c r="C20" i="15"/>
  <c r="D19" i="15"/>
  <c r="C19" i="15"/>
  <c r="C28" i="15" s="1"/>
  <c r="D45" i="14"/>
  <c r="C45" i="14"/>
  <c r="BK21" i="6"/>
  <c r="CD23" i="10" l="1"/>
  <c r="CF6" i="10"/>
  <c r="CD19" i="10"/>
  <c r="CD18" i="10"/>
  <c r="CF8" i="10"/>
  <c r="CF7" i="10"/>
  <c r="CF5" i="10"/>
  <c r="CD21" i="10" s="1"/>
  <c r="CE5" i="10"/>
  <c r="CE6" i="10" s="1"/>
  <c r="CE7" i="10" s="1"/>
  <c r="CE8" i="10" s="1"/>
  <c r="CE9" i="10" s="1"/>
  <c r="CE10" i="10" s="1"/>
  <c r="CE11" i="10" s="1"/>
  <c r="CE12" i="10" s="1"/>
  <c r="CE13" i="10" s="1"/>
  <c r="CE14" i="10" s="1"/>
  <c r="CE15" i="10" s="1"/>
  <c r="CE16" i="10" s="1"/>
  <c r="CD17" i="10" s="1"/>
  <c r="CD20" i="10" s="1"/>
  <c r="BT23" i="10"/>
  <c r="BV6" i="10"/>
  <c r="BT19" i="10"/>
  <c r="BT18" i="10"/>
  <c r="BV8" i="10"/>
  <c r="BV7" i="10"/>
  <c r="BV5" i="10"/>
  <c r="BT21" i="10" s="1"/>
  <c r="BU5" i="10"/>
  <c r="BU6" i="10" s="1"/>
  <c r="BU7" i="10" s="1"/>
  <c r="BU8" i="10" s="1"/>
  <c r="BU9" i="10" s="1"/>
  <c r="BU10" i="10" s="1"/>
  <c r="BU11" i="10" s="1"/>
  <c r="BU12" i="10" s="1"/>
  <c r="BU13" i="10" s="1"/>
  <c r="BU14" i="10" s="1"/>
  <c r="BU15" i="10" s="1"/>
  <c r="BU16" i="10" s="1"/>
  <c r="BT17" i="10" s="1"/>
  <c r="CB19" i="9"/>
  <c r="CB21" i="9"/>
  <c r="CB22" i="9"/>
  <c r="CB18" i="9"/>
  <c r="CD8" i="9"/>
  <c r="CD7" i="9"/>
  <c r="CD6" i="9"/>
  <c r="CD5" i="9"/>
  <c r="CB20" i="9" s="1"/>
  <c r="CC5" i="9"/>
  <c r="CC6" i="9" s="1"/>
  <c r="CC7" i="9" s="1"/>
  <c r="CC8" i="9" s="1"/>
  <c r="CC9" i="9" s="1"/>
  <c r="CC10" i="9" s="1"/>
  <c r="CC11" i="9" s="1"/>
  <c r="CC12" i="9" s="1"/>
  <c r="CC13" i="9" s="1"/>
  <c r="CC14" i="9" s="1"/>
  <c r="CC15" i="9" s="1"/>
  <c r="CC16" i="9" s="1"/>
  <c r="CB17" i="9" s="1"/>
  <c r="BR22" i="9"/>
  <c r="BR18" i="9"/>
  <c r="BT8" i="9"/>
  <c r="BT7" i="9"/>
  <c r="BT6" i="9"/>
  <c r="BT5" i="9"/>
  <c r="BS5" i="9"/>
  <c r="BS6" i="9" s="1"/>
  <c r="BS7" i="9" s="1"/>
  <c r="BS8" i="9" s="1"/>
  <c r="BS9" i="9" s="1"/>
  <c r="BS10" i="9" s="1"/>
  <c r="BS11" i="9" s="1"/>
  <c r="BS12" i="9" s="1"/>
  <c r="BS13" i="9" s="1"/>
  <c r="BS14" i="9" s="1"/>
  <c r="BS15" i="9" s="1"/>
  <c r="BS16" i="9" s="1"/>
  <c r="BR17" i="9" s="1"/>
  <c r="BR19" i="9" s="1"/>
  <c r="BZ22" i="8"/>
  <c r="BZ20" i="8"/>
  <c r="BZ18" i="8"/>
  <c r="CB8" i="8"/>
  <c r="CB7" i="8"/>
  <c r="CB6" i="8"/>
  <c r="CB5" i="8"/>
  <c r="CA5" i="8"/>
  <c r="CA6" i="8" s="1"/>
  <c r="CA7" i="8" s="1"/>
  <c r="CA8" i="8" s="1"/>
  <c r="CA9" i="8" s="1"/>
  <c r="CA10" i="8" s="1"/>
  <c r="CA11" i="8" s="1"/>
  <c r="CA12" i="8" s="1"/>
  <c r="CA13" i="8" s="1"/>
  <c r="CA14" i="8" s="1"/>
  <c r="CA15" i="8" s="1"/>
  <c r="CA16" i="8" s="1"/>
  <c r="BZ17" i="8" s="1"/>
  <c r="BZ19" i="8" s="1"/>
  <c r="BP22" i="8"/>
  <c r="BP18" i="8"/>
  <c r="BR8" i="8"/>
  <c r="BR7" i="8"/>
  <c r="BR6" i="8"/>
  <c r="BR5" i="8"/>
  <c r="BP20" i="8" s="1"/>
  <c r="BQ5" i="8"/>
  <c r="BQ6" i="8" s="1"/>
  <c r="BQ7" i="8" s="1"/>
  <c r="BQ8" i="8" s="1"/>
  <c r="BQ9" i="8" s="1"/>
  <c r="BQ10" i="8" s="1"/>
  <c r="BQ11" i="8" s="1"/>
  <c r="BQ12" i="8" s="1"/>
  <c r="BQ13" i="8" s="1"/>
  <c r="BQ14" i="8" s="1"/>
  <c r="BQ15" i="8" s="1"/>
  <c r="BQ16" i="8" s="1"/>
  <c r="BP17" i="8" s="1"/>
  <c r="BP19" i="8" s="1"/>
  <c r="CD6" i="7"/>
  <c r="CB21" i="7"/>
  <c r="CB17" i="7"/>
  <c r="CD9" i="7"/>
  <c r="CD8" i="7"/>
  <c r="CD7" i="7"/>
  <c r="CD5" i="7"/>
  <c r="CD4" i="7"/>
  <c r="CC4" i="7"/>
  <c r="CC5" i="7" s="1"/>
  <c r="CC6" i="7" s="1"/>
  <c r="CC7" i="7" s="1"/>
  <c r="CC8" i="7" s="1"/>
  <c r="CC9" i="7" s="1"/>
  <c r="CC10" i="7" s="1"/>
  <c r="CC11" i="7" s="1"/>
  <c r="CC12" i="7" s="1"/>
  <c r="CC13" i="7" s="1"/>
  <c r="CC14" i="7" s="1"/>
  <c r="CC15" i="7" s="1"/>
  <c r="CB16" i="7" s="1"/>
  <c r="CB18" i="7" s="1"/>
  <c r="BR21" i="7"/>
  <c r="BR17" i="7"/>
  <c r="BT9" i="7"/>
  <c r="BT8" i="7"/>
  <c r="BT7" i="7"/>
  <c r="BT5" i="7"/>
  <c r="BT4" i="7"/>
  <c r="BR19" i="7" s="1"/>
  <c r="BS4" i="7"/>
  <c r="BS5" i="7" s="1"/>
  <c r="BS6" i="7" s="1"/>
  <c r="BS7" i="7" s="1"/>
  <c r="BS8" i="7" s="1"/>
  <c r="BS9" i="7" s="1"/>
  <c r="BS10" i="7" s="1"/>
  <c r="BS11" i="7" s="1"/>
  <c r="BS12" i="7" s="1"/>
  <c r="BS13" i="7" s="1"/>
  <c r="BS14" i="7" s="1"/>
  <c r="BS15" i="7" s="1"/>
  <c r="BR16" i="7" s="1"/>
  <c r="BR18" i="7" s="1"/>
  <c r="CE21" i="6"/>
  <c r="CG12" i="6"/>
  <c r="CG8" i="6"/>
  <c r="CE17" i="6"/>
  <c r="CG11" i="6"/>
  <c r="CG10" i="6"/>
  <c r="CG9" i="6"/>
  <c r="CG7" i="6"/>
  <c r="CG6" i="6"/>
  <c r="CG5" i="6"/>
  <c r="CG4" i="6"/>
  <c r="CE19" i="6" s="1"/>
  <c r="CF4" i="6"/>
  <c r="CF5" i="6" s="1"/>
  <c r="CF6" i="6" s="1"/>
  <c r="CF7" i="6" s="1"/>
  <c r="CF8" i="6" s="1"/>
  <c r="CF9" i="6" s="1"/>
  <c r="CF10" i="6" s="1"/>
  <c r="CF11" i="6" s="1"/>
  <c r="CF12" i="6" s="1"/>
  <c r="CF13" i="6" s="1"/>
  <c r="CF14" i="6" s="1"/>
  <c r="CF15" i="6" s="1"/>
  <c r="CE16" i="6" s="1"/>
  <c r="CE18" i="6" s="1"/>
  <c r="BU19" i="6"/>
  <c r="BW8" i="6"/>
  <c r="BW4" i="6"/>
  <c r="BU21" i="6"/>
  <c r="BU17" i="6"/>
  <c r="BW11" i="6"/>
  <c r="BW10" i="6"/>
  <c r="BW9" i="6"/>
  <c r="BW7" i="6"/>
  <c r="BW6" i="6"/>
  <c r="BW5" i="6"/>
  <c r="BV4" i="6"/>
  <c r="BV5" i="6" s="1"/>
  <c r="BV6" i="6" s="1"/>
  <c r="BV7" i="6" s="1"/>
  <c r="BV8" i="6" s="1"/>
  <c r="BV9" i="6" s="1"/>
  <c r="BV10" i="6" s="1"/>
  <c r="BV11" i="6" s="1"/>
  <c r="BV12" i="6" s="1"/>
  <c r="BV13" i="6" s="1"/>
  <c r="BV14" i="6" s="1"/>
  <c r="BV15" i="6" s="1"/>
  <c r="BU16" i="6" s="1"/>
  <c r="BU18" i="6" s="1"/>
  <c r="CD22" i="5"/>
  <c r="CD21" i="5"/>
  <c r="CD17" i="5"/>
  <c r="CF6" i="5"/>
  <c r="CF5" i="5"/>
  <c r="CF4" i="5"/>
  <c r="CF3" i="5"/>
  <c r="CE3" i="5"/>
  <c r="CE4" i="5" s="1"/>
  <c r="CE5" i="5" s="1"/>
  <c r="CE6" i="5" s="1"/>
  <c r="CE7" i="5" s="1"/>
  <c r="CE8" i="5" s="1"/>
  <c r="CE9" i="5" s="1"/>
  <c r="CE10" i="5" s="1"/>
  <c r="CE11" i="5" s="1"/>
  <c r="CE12" i="5" s="1"/>
  <c r="CE13" i="5" s="1"/>
  <c r="CE14" i="5" s="1"/>
  <c r="CD15" i="5" s="1"/>
  <c r="BT22" i="5"/>
  <c r="BT21" i="5"/>
  <c r="BT17" i="5"/>
  <c r="BV6" i="5"/>
  <c r="BV5" i="5"/>
  <c r="BV4" i="5"/>
  <c r="BV3" i="5"/>
  <c r="BU3" i="5"/>
  <c r="BU4" i="5" s="1"/>
  <c r="BU5" i="5" s="1"/>
  <c r="BU6" i="5" s="1"/>
  <c r="BU7" i="5" s="1"/>
  <c r="BU8" i="5" s="1"/>
  <c r="BU9" i="5" s="1"/>
  <c r="BU10" i="5" s="1"/>
  <c r="BU11" i="5" s="1"/>
  <c r="BU12" i="5" s="1"/>
  <c r="BU13" i="5" s="1"/>
  <c r="BU14" i="5" s="1"/>
  <c r="BT15" i="5" s="1"/>
  <c r="BT18" i="5" s="1"/>
  <c r="CE19" i="4"/>
  <c r="CG9" i="4"/>
  <c r="CE21" i="4"/>
  <c r="CE17" i="4"/>
  <c r="CG8" i="4"/>
  <c r="CG7" i="4"/>
  <c r="CG6" i="4"/>
  <c r="CG5" i="4"/>
  <c r="CF4" i="4"/>
  <c r="CF5" i="4" s="1"/>
  <c r="CF6" i="4" s="1"/>
  <c r="CF7" i="4" s="1"/>
  <c r="CF8" i="4" s="1"/>
  <c r="CF9" i="4" s="1"/>
  <c r="CF10" i="4" s="1"/>
  <c r="CF11" i="4" s="1"/>
  <c r="CF12" i="4" s="1"/>
  <c r="CF13" i="4" s="1"/>
  <c r="CF14" i="4" s="1"/>
  <c r="CF15" i="4" s="1"/>
  <c r="CE16" i="4" s="1"/>
  <c r="CE18" i="4" s="1"/>
  <c r="BU19" i="4"/>
  <c r="BW9" i="4"/>
  <c r="BU21" i="4"/>
  <c r="BU17" i="4"/>
  <c r="BW8" i="4"/>
  <c r="BW7" i="4"/>
  <c r="BW6" i="4"/>
  <c r="BW5" i="4"/>
  <c r="BV4" i="4"/>
  <c r="BV5" i="4" s="1"/>
  <c r="BV6" i="4" s="1"/>
  <c r="BV7" i="4" s="1"/>
  <c r="BV8" i="4" s="1"/>
  <c r="BV9" i="4" s="1"/>
  <c r="BV10" i="4" s="1"/>
  <c r="BV11" i="4" s="1"/>
  <c r="BV12" i="4" s="1"/>
  <c r="BV13" i="4" s="1"/>
  <c r="BV14" i="4" s="1"/>
  <c r="BV15" i="4" s="1"/>
  <c r="BU16" i="4" s="1"/>
  <c r="BU18" i="4" s="1"/>
  <c r="CE19" i="3"/>
  <c r="CG7" i="3"/>
  <c r="CG5" i="3"/>
  <c r="CE21" i="3"/>
  <c r="CE17" i="3"/>
  <c r="CG9" i="3"/>
  <c r="CG8" i="3"/>
  <c r="CG6" i="3"/>
  <c r="CG4" i="3"/>
  <c r="CF4" i="3"/>
  <c r="CF5" i="3" s="1"/>
  <c r="CF6" i="3" s="1"/>
  <c r="CF7" i="3" s="1"/>
  <c r="CF8" i="3" s="1"/>
  <c r="CF9" i="3" s="1"/>
  <c r="CF10" i="3" s="1"/>
  <c r="CF11" i="3" s="1"/>
  <c r="CF12" i="3" s="1"/>
  <c r="CF13" i="3" s="1"/>
  <c r="CF14" i="3" s="1"/>
  <c r="CF15" i="3" s="1"/>
  <c r="CE16" i="3" s="1"/>
  <c r="CE18" i="3" s="1"/>
  <c r="BW5" i="3"/>
  <c r="BU21" i="3"/>
  <c r="BU17" i="3"/>
  <c r="BW9" i="3"/>
  <c r="BW8" i="3"/>
  <c r="BW6" i="3"/>
  <c r="BW4" i="3"/>
  <c r="BV4" i="3"/>
  <c r="BV5" i="3" s="1"/>
  <c r="BV6" i="3" s="1"/>
  <c r="BV7" i="3" s="1"/>
  <c r="BV8" i="3" s="1"/>
  <c r="BV9" i="3" s="1"/>
  <c r="BV10" i="3" s="1"/>
  <c r="BV11" i="3" s="1"/>
  <c r="BV12" i="3" s="1"/>
  <c r="BV13" i="3" s="1"/>
  <c r="BV14" i="3" s="1"/>
  <c r="BV15" i="3" s="1"/>
  <c r="BU16" i="3" s="1"/>
  <c r="BU18" i="3" s="1"/>
  <c r="CF20" i="2"/>
  <c r="CF16" i="2"/>
  <c r="CH7" i="2"/>
  <c r="CH6" i="2"/>
  <c r="CH5" i="2"/>
  <c r="CH4" i="2"/>
  <c r="CF18" i="2" s="1"/>
  <c r="CG3" i="2"/>
  <c r="CG4" i="2" s="1"/>
  <c r="CG5" i="2" s="1"/>
  <c r="CG6" i="2" s="1"/>
  <c r="CG7" i="2" s="1"/>
  <c r="CG8" i="2" s="1"/>
  <c r="CG9" i="2" s="1"/>
  <c r="CG10" i="2" s="1"/>
  <c r="CG11" i="2" s="1"/>
  <c r="CG12" i="2" s="1"/>
  <c r="CG13" i="2" s="1"/>
  <c r="CG14" i="2" s="1"/>
  <c r="CF15" i="2" s="1"/>
  <c r="BX3" i="2"/>
  <c r="BV20" i="2"/>
  <c r="BV16" i="2"/>
  <c r="BX7" i="2"/>
  <c r="BX6" i="2"/>
  <c r="BX5" i="2"/>
  <c r="BX4" i="2"/>
  <c r="BW3" i="2"/>
  <c r="BW4" i="2" s="1"/>
  <c r="BW5" i="2" s="1"/>
  <c r="BW6" i="2" s="1"/>
  <c r="BW7" i="2" s="1"/>
  <c r="BW8" i="2" s="1"/>
  <c r="BW9" i="2" s="1"/>
  <c r="BW10" i="2" s="1"/>
  <c r="BW11" i="2" s="1"/>
  <c r="BW12" i="2" s="1"/>
  <c r="BW13" i="2" s="1"/>
  <c r="BW14" i="2" s="1"/>
  <c r="BV15" i="2" s="1"/>
  <c r="AZ23" i="10"/>
  <c r="BJ23" i="10"/>
  <c r="BJ21" i="10"/>
  <c r="BL6" i="10"/>
  <c r="BJ19" i="10"/>
  <c r="BK18" i="10"/>
  <c r="BJ18" i="10"/>
  <c r="BK17" i="10"/>
  <c r="BL8" i="10"/>
  <c r="BL7" i="10"/>
  <c r="BL5" i="10"/>
  <c r="BK5" i="10"/>
  <c r="BK6" i="10" s="1"/>
  <c r="BK7" i="10" s="1"/>
  <c r="BK8" i="10" s="1"/>
  <c r="BK9" i="10" s="1"/>
  <c r="BK10" i="10" s="1"/>
  <c r="BK11" i="10" s="1"/>
  <c r="BK12" i="10" s="1"/>
  <c r="BK13" i="10" s="1"/>
  <c r="BK14" i="10" s="1"/>
  <c r="BK15" i="10" s="1"/>
  <c r="BK16" i="10" s="1"/>
  <c r="BJ17" i="10" s="1"/>
  <c r="AZ21" i="10"/>
  <c r="BB9" i="10"/>
  <c r="BB6" i="10"/>
  <c r="AZ19" i="10"/>
  <c r="BA18" i="10"/>
  <c r="AZ18" i="10"/>
  <c r="BA17" i="10"/>
  <c r="BB8" i="10"/>
  <c r="BB7" i="10"/>
  <c r="BB5" i="10"/>
  <c r="BA5" i="10"/>
  <c r="BA6" i="10" s="1"/>
  <c r="BA7" i="10" s="1"/>
  <c r="BA8" i="10" s="1"/>
  <c r="BA9" i="10" s="1"/>
  <c r="BA10" i="10" s="1"/>
  <c r="BA11" i="10" s="1"/>
  <c r="BA12" i="10" s="1"/>
  <c r="BA13" i="10" s="1"/>
  <c r="BA14" i="10" s="1"/>
  <c r="BA15" i="10" s="1"/>
  <c r="BA16" i="10" s="1"/>
  <c r="AZ17" i="10" s="1"/>
  <c r="BH22" i="9"/>
  <c r="BH18" i="9"/>
  <c r="BJ8" i="9"/>
  <c r="BJ7" i="9"/>
  <c r="BJ6" i="9"/>
  <c r="BJ5" i="9"/>
  <c r="BH20" i="9" s="1"/>
  <c r="BI5" i="9"/>
  <c r="BI6" i="9" s="1"/>
  <c r="BI7" i="9" s="1"/>
  <c r="BI8" i="9" s="1"/>
  <c r="BI9" i="9" s="1"/>
  <c r="BI10" i="9" s="1"/>
  <c r="BI11" i="9" s="1"/>
  <c r="BI12" i="9" s="1"/>
  <c r="BI13" i="9" s="1"/>
  <c r="BI14" i="9" s="1"/>
  <c r="BI15" i="9" s="1"/>
  <c r="BI16" i="9" s="1"/>
  <c r="BH17" i="9" s="1"/>
  <c r="BH19" i="9" s="1"/>
  <c r="AX18" i="9"/>
  <c r="AX20" i="9"/>
  <c r="AZ11" i="9"/>
  <c r="AZ10" i="9"/>
  <c r="AZ9" i="9"/>
  <c r="AZ8" i="9"/>
  <c r="AZ7" i="9"/>
  <c r="AX22" i="9"/>
  <c r="AZ6" i="9"/>
  <c r="AY6" i="9"/>
  <c r="AY7" i="9" s="1"/>
  <c r="AY8" i="9" s="1"/>
  <c r="AY9" i="9" s="1"/>
  <c r="AY10" i="9" s="1"/>
  <c r="AY11" i="9" s="1"/>
  <c r="AY12" i="9" s="1"/>
  <c r="AY13" i="9" s="1"/>
  <c r="AY14" i="9" s="1"/>
  <c r="AY15" i="9" s="1"/>
  <c r="AY16" i="9" s="1"/>
  <c r="AX17" i="9" s="1"/>
  <c r="AZ5" i="9"/>
  <c r="AY5" i="9"/>
  <c r="BF22" i="8"/>
  <c r="AV22" i="8"/>
  <c r="BF18" i="8"/>
  <c r="BH8" i="8"/>
  <c r="BH7" i="8"/>
  <c r="BH6" i="8"/>
  <c r="BH5" i="8"/>
  <c r="BG5" i="8"/>
  <c r="BG6" i="8" s="1"/>
  <c r="BG7" i="8" s="1"/>
  <c r="BG8" i="8" s="1"/>
  <c r="BG9" i="8" s="1"/>
  <c r="BG10" i="8" s="1"/>
  <c r="BG11" i="8" s="1"/>
  <c r="BG12" i="8" s="1"/>
  <c r="BG13" i="8" s="1"/>
  <c r="BG14" i="8" s="1"/>
  <c r="BG15" i="8" s="1"/>
  <c r="BG16" i="8" s="1"/>
  <c r="BF17" i="8" s="1"/>
  <c r="BF19" i="8" s="1"/>
  <c r="AV18" i="8"/>
  <c r="AX8" i="8"/>
  <c r="AX7" i="8"/>
  <c r="AX6" i="8"/>
  <c r="AX5" i="8"/>
  <c r="AV20" i="8" s="1"/>
  <c r="AW5" i="8"/>
  <c r="AW6" i="8" s="1"/>
  <c r="AW7" i="8" s="1"/>
  <c r="AW8" i="8" s="1"/>
  <c r="AW9" i="8" s="1"/>
  <c r="AW10" i="8" s="1"/>
  <c r="AW11" i="8" s="1"/>
  <c r="AW12" i="8" s="1"/>
  <c r="AW13" i="8" s="1"/>
  <c r="AW14" i="8" s="1"/>
  <c r="AW15" i="8" s="1"/>
  <c r="AW16" i="8" s="1"/>
  <c r="AV17" i="8" s="1"/>
  <c r="BH21" i="7"/>
  <c r="BH17" i="7"/>
  <c r="BJ9" i="7"/>
  <c r="BJ8" i="7"/>
  <c r="BJ7" i="7"/>
  <c r="BJ6" i="7"/>
  <c r="BJ5" i="7"/>
  <c r="BJ4" i="7"/>
  <c r="BH19" i="7" s="1"/>
  <c r="BI4" i="7"/>
  <c r="BI5" i="7" s="1"/>
  <c r="BI6" i="7" s="1"/>
  <c r="BI7" i="7" s="1"/>
  <c r="BI8" i="7" s="1"/>
  <c r="BI9" i="7" s="1"/>
  <c r="BI10" i="7" s="1"/>
  <c r="BI11" i="7" s="1"/>
  <c r="BI12" i="7" s="1"/>
  <c r="BI13" i="7" s="1"/>
  <c r="BI14" i="7" s="1"/>
  <c r="BI15" i="7" s="1"/>
  <c r="BH16" i="7" s="1"/>
  <c r="BH18" i="7" s="1"/>
  <c r="AX21" i="7"/>
  <c r="AX17" i="7"/>
  <c r="AZ9" i="7"/>
  <c r="AZ8" i="7"/>
  <c r="AZ7" i="7"/>
  <c r="AZ6" i="7"/>
  <c r="AZ5" i="7"/>
  <c r="AZ4" i="7"/>
  <c r="AX19" i="7" s="1"/>
  <c r="AY4" i="7"/>
  <c r="AY5" i="7" s="1"/>
  <c r="AY6" i="7" s="1"/>
  <c r="AY7" i="7" s="1"/>
  <c r="AY8" i="7" s="1"/>
  <c r="AY9" i="7" s="1"/>
  <c r="AY10" i="7" s="1"/>
  <c r="AY11" i="7" s="1"/>
  <c r="AY12" i="7" s="1"/>
  <c r="AY13" i="7" s="1"/>
  <c r="AY14" i="7" s="1"/>
  <c r="AY15" i="7" s="1"/>
  <c r="AX16" i="7" s="1"/>
  <c r="AX18" i="7" s="1"/>
  <c r="BK19" i="6"/>
  <c r="BM8" i="6"/>
  <c r="BK17" i="6"/>
  <c r="BM10" i="6"/>
  <c r="BM11" i="6"/>
  <c r="BM9" i="6"/>
  <c r="BM7" i="6"/>
  <c r="BM6" i="6"/>
  <c r="BM5" i="6"/>
  <c r="BL4" i="6"/>
  <c r="BL5" i="6" s="1"/>
  <c r="BL6" i="6" s="1"/>
  <c r="BL7" i="6" s="1"/>
  <c r="BL8" i="6" s="1"/>
  <c r="BL9" i="6" s="1"/>
  <c r="BL10" i="6" s="1"/>
  <c r="BL11" i="6" s="1"/>
  <c r="BL12" i="6" s="1"/>
  <c r="BL13" i="6" s="1"/>
  <c r="BL14" i="6" s="1"/>
  <c r="BL15" i="6" s="1"/>
  <c r="BK16" i="6" s="1"/>
  <c r="BA19" i="6"/>
  <c r="BA21" i="6"/>
  <c r="BC8" i="6"/>
  <c r="BC4" i="6"/>
  <c r="BA17" i="6"/>
  <c r="BC12" i="6"/>
  <c r="BC11" i="6"/>
  <c r="BC10" i="6"/>
  <c r="BC9" i="6"/>
  <c r="BC7" i="6"/>
  <c r="BC6" i="6"/>
  <c r="BC5" i="6"/>
  <c r="BB4" i="6"/>
  <c r="BB5" i="6" s="1"/>
  <c r="BB6" i="6" s="1"/>
  <c r="BB7" i="6" s="1"/>
  <c r="BB8" i="6" s="1"/>
  <c r="BB9" i="6" s="1"/>
  <c r="BB10" i="6" s="1"/>
  <c r="BB11" i="6" s="1"/>
  <c r="BB12" i="6" s="1"/>
  <c r="BB13" i="6" s="1"/>
  <c r="BB14" i="6" s="1"/>
  <c r="BB15" i="6" s="1"/>
  <c r="BA16" i="6" s="1"/>
  <c r="BA18" i="6" s="1"/>
  <c r="BJ20" i="5"/>
  <c r="BJ23" i="5"/>
  <c r="BJ22" i="5"/>
  <c r="BJ18" i="5"/>
  <c r="BL7" i="5"/>
  <c r="BL6" i="5"/>
  <c r="BL5" i="5"/>
  <c r="BL4" i="5"/>
  <c r="BK4" i="5"/>
  <c r="BK5" i="5" s="1"/>
  <c r="BK6" i="5" s="1"/>
  <c r="BK7" i="5" s="1"/>
  <c r="BK8" i="5" s="1"/>
  <c r="BK9" i="5" s="1"/>
  <c r="BK10" i="5" s="1"/>
  <c r="BK11" i="5" s="1"/>
  <c r="BK12" i="5" s="1"/>
  <c r="BK13" i="5" s="1"/>
  <c r="BK14" i="5" s="1"/>
  <c r="BK15" i="5" s="1"/>
  <c r="BJ16" i="5" s="1"/>
  <c r="BJ19" i="5" s="1"/>
  <c r="AZ22" i="5"/>
  <c r="BB8" i="5"/>
  <c r="AZ23" i="5"/>
  <c r="AZ18" i="5"/>
  <c r="BB7" i="5"/>
  <c r="BB6" i="5"/>
  <c r="BB5" i="5"/>
  <c r="BB4" i="5"/>
  <c r="AZ20" i="5" s="1"/>
  <c r="BA4" i="5"/>
  <c r="BA5" i="5" s="1"/>
  <c r="BA6" i="5" s="1"/>
  <c r="BA7" i="5" s="1"/>
  <c r="BA8" i="5" s="1"/>
  <c r="BA9" i="5" s="1"/>
  <c r="BA10" i="5" s="1"/>
  <c r="BA11" i="5" s="1"/>
  <c r="BA12" i="5" s="1"/>
  <c r="BA13" i="5" s="1"/>
  <c r="BA14" i="5" s="1"/>
  <c r="BA15" i="5" s="1"/>
  <c r="AZ16" i="5" s="1"/>
  <c r="AZ19" i="5" s="1"/>
  <c r="BK19" i="4"/>
  <c r="BA19" i="4"/>
  <c r="BC4" i="4"/>
  <c r="BA21" i="4"/>
  <c r="BK21" i="4"/>
  <c r="BM9" i="4"/>
  <c r="BM7" i="4"/>
  <c r="BK17" i="4"/>
  <c r="BM8" i="4"/>
  <c r="BM6" i="4"/>
  <c r="BM5" i="4"/>
  <c r="BL4" i="4"/>
  <c r="BL5" i="4" s="1"/>
  <c r="BL6" i="4" s="1"/>
  <c r="BL7" i="4" s="1"/>
  <c r="BL8" i="4" s="1"/>
  <c r="BL9" i="4" s="1"/>
  <c r="BL10" i="4" s="1"/>
  <c r="BL11" i="4" s="1"/>
  <c r="BL12" i="4" s="1"/>
  <c r="BL13" i="4" s="1"/>
  <c r="BL14" i="4" s="1"/>
  <c r="BL15" i="4" s="1"/>
  <c r="BK16" i="4" s="1"/>
  <c r="I20" i="4"/>
  <c r="T20" i="4"/>
  <c r="AF19" i="4"/>
  <c r="AQ20" i="4"/>
  <c r="BA20" i="4"/>
  <c r="BC7" i="4"/>
  <c r="BA17" i="4"/>
  <c r="BC8" i="4"/>
  <c r="BC6" i="4"/>
  <c r="BC5" i="4"/>
  <c r="BB4" i="4"/>
  <c r="BB5" i="4" s="1"/>
  <c r="BB6" i="4" s="1"/>
  <c r="BB7" i="4" s="1"/>
  <c r="BB8" i="4" s="1"/>
  <c r="BB9" i="4" s="1"/>
  <c r="BB10" i="4" s="1"/>
  <c r="BB11" i="4" s="1"/>
  <c r="BB12" i="4" s="1"/>
  <c r="BB13" i="4" s="1"/>
  <c r="BB14" i="4" s="1"/>
  <c r="BB15" i="4" s="1"/>
  <c r="BA16" i="4" s="1"/>
  <c r="BA18" i="4" s="1"/>
  <c r="AF19" i="3"/>
  <c r="AQ19" i="3"/>
  <c r="BA19" i="3"/>
  <c r="BK19" i="3"/>
  <c r="BM9" i="3"/>
  <c r="BM8" i="3"/>
  <c r="BM7" i="3"/>
  <c r="BM6" i="3"/>
  <c r="BM5" i="3"/>
  <c r="BM4" i="3"/>
  <c r="BK21" i="3"/>
  <c r="BK17" i="3"/>
  <c r="BL4" i="3"/>
  <c r="BL5" i="3" s="1"/>
  <c r="BL6" i="3" s="1"/>
  <c r="BL7" i="3" s="1"/>
  <c r="BL8" i="3" s="1"/>
  <c r="BL9" i="3" s="1"/>
  <c r="BL10" i="3" s="1"/>
  <c r="BL11" i="3" s="1"/>
  <c r="BL12" i="3" s="1"/>
  <c r="BL13" i="3" s="1"/>
  <c r="BL14" i="3" s="1"/>
  <c r="BL15" i="3" s="1"/>
  <c r="BK16" i="3" s="1"/>
  <c r="BK18" i="3" s="1"/>
  <c r="BC10" i="3"/>
  <c r="BC9" i="3"/>
  <c r="BC6" i="3"/>
  <c r="BA21" i="3"/>
  <c r="BA17" i="3"/>
  <c r="BC8" i="3"/>
  <c r="BC7" i="3"/>
  <c r="BC5" i="3"/>
  <c r="BB4" i="3"/>
  <c r="BB5" i="3" s="1"/>
  <c r="BB6" i="3" s="1"/>
  <c r="BB7" i="3" s="1"/>
  <c r="BB8" i="3" s="1"/>
  <c r="BB9" i="3" s="1"/>
  <c r="BB10" i="3" s="1"/>
  <c r="BB11" i="3" s="1"/>
  <c r="BB12" i="3" s="1"/>
  <c r="BB13" i="3" s="1"/>
  <c r="BB14" i="3" s="1"/>
  <c r="BB15" i="3" s="1"/>
  <c r="BA16" i="3" s="1"/>
  <c r="BA18" i="3" s="1"/>
  <c r="BL20" i="2"/>
  <c r="BL16" i="2"/>
  <c r="BN7" i="2"/>
  <c r="BN6" i="2"/>
  <c r="BN5" i="2"/>
  <c r="BN4" i="2"/>
  <c r="BM3" i="2"/>
  <c r="BM4" i="2" s="1"/>
  <c r="BM5" i="2" s="1"/>
  <c r="BM6" i="2" s="1"/>
  <c r="BM7" i="2" s="1"/>
  <c r="BM8" i="2" s="1"/>
  <c r="BM9" i="2" s="1"/>
  <c r="BM10" i="2" s="1"/>
  <c r="BM11" i="2" s="1"/>
  <c r="BM12" i="2" s="1"/>
  <c r="BM13" i="2" s="1"/>
  <c r="BM14" i="2" s="1"/>
  <c r="BL15" i="2" s="1"/>
  <c r="BB20" i="2"/>
  <c r="BB16" i="2"/>
  <c r="BD7" i="2"/>
  <c r="BD6" i="2"/>
  <c r="BD5" i="2"/>
  <c r="BD4" i="2"/>
  <c r="BC3" i="2"/>
  <c r="BC4" i="2" s="1"/>
  <c r="BC5" i="2" s="1"/>
  <c r="BC6" i="2" s="1"/>
  <c r="BC7" i="2" s="1"/>
  <c r="BC8" i="2" s="1"/>
  <c r="BC9" i="2" s="1"/>
  <c r="BC10" i="2" s="1"/>
  <c r="BC11" i="2" s="1"/>
  <c r="BC12" i="2" s="1"/>
  <c r="BC13" i="2" s="1"/>
  <c r="BC14" i="2" s="1"/>
  <c r="BB15" i="2" s="1"/>
  <c r="BB17" i="2" s="1"/>
  <c r="AN19" i="7"/>
  <c r="AP9" i="7"/>
  <c r="AP8" i="7"/>
  <c r="AP7" i="7"/>
  <c r="AP6" i="7"/>
  <c r="AP5" i="7"/>
  <c r="AP4" i="7"/>
  <c r="AN21" i="7"/>
  <c r="AQ22" i="6"/>
  <c r="AE22" i="6"/>
  <c r="AG8" i="6"/>
  <c r="AQ20" i="6"/>
  <c r="AF23" i="5"/>
  <c r="AF21" i="10"/>
  <c r="AF23" i="10"/>
  <c r="AH5" i="10"/>
  <c r="AN20" i="9"/>
  <c r="AD22" i="9"/>
  <c r="AD20" i="9"/>
  <c r="AF11" i="9"/>
  <c r="AF10" i="9"/>
  <c r="AF9" i="9"/>
  <c r="AF8" i="9"/>
  <c r="AD20" i="8"/>
  <c r="AF9" i="8"/>
  <c r="AN20" i="8"/>
  <c r="AP8" i="8"/>
  <c r="AN22" i="8"/>
  <c r="AH6" i="4"/>
  <c r="AF21" i="4"/>
  <c r="AQ21" i="3"/>
  <c r="AF21" i="3"/>
  <c r="AR20" i="2"/>
  <c r="AR18" i="2"/>
  <c r="AF20" i="2"/>
  <c r="AR8" i="10"/>
  <c r="AR7" i="10"/>
  <c r="AR6" i="10"/>
  <c r="AR5" i="10"/>
  <c r="AP24" i="10"/>
  <c r="AP23" i="10"/>
  <c r="AP19" i="10"/>
  <c r="AQ18" i="10"/>
  <c r="AP18" i="10"/>
  <c r="AP21" i="10"/>
  <c r="AQ5" i="10"/>
  <c r="AQ6" i="10" s="1"/>
  <c r="AQ7" i="10" s="1"/>
  <c r="AQ8" i="10" s="1"/>
  <c r="AQ9" i="10" s="1"/>
  <c r="AQ10" i="10" s="1"/>
  <c r="AQ11" i="10" s="1"/>
  <c r="AQ12" i="10" s="1"/>
  <c r="AQ13" i="10" s="1"/>
  <c r="AQ14" i="10" s="1"/>
  <c r="AQ15" i="10" s="1"/>
  <c r="AQ16" i="10" s="1"/>
  <c r="AP17" i="10" s="1"/>
  <c r="AF19" i="10"/>
  <c r="AH7" i="10"/>
  <c r="AH6" i="10"/>
  <c r="AF24" i="10"/>
  <c r="AG18" i="10"/>
  <c r="AF18" i="10"/>
  <c r="AG17" i="10"/>
  <c r="AG5" i="10"/>
  <c r="AG6" i="10" s="1"/>
  <c r="AG7" i="10" s="1"/>
  <c r="AG8" i="10" s="1"/>
  <c r="AG9" i="10" s="1"/>
  <c r="AG10" i="10" s="1"/>
  <c r="AG11" i="10" s="1"/>
  <c r="AG12" i="10" s="1"/>
  <c r="AG13" i="10" s="1"/>
  <c r="AG14" i="10" s="1"/>
  <c r="AG15" i="10" s="1"/>
  <c r="AG16" i="10" s="1"/>
  <c r="AF17" i="10" s="1"/>
  <c r="AQ17" i="10" s="1"/>
  <c r="AN22" i="9"/>
  <c r="AN18" i="9"/>
  <c r="AP8" i="9"/>
  <c r="AP7" i="9"/>
  <c r="AP6" i="9"/>
  <c r="AP5" i="9"/>
  <c r="AO5" i="9"/>
  <c r="AO6" i="9" s="1"/>
  <c r="AO7" i="9" s="1"/>
  <c r="AO8" i="9" s="1"/>
  <c r="AO9" i="9" s="1"/>
  <c r="AO10" i="9" s="1"/>
  <c r="AO11" i="9" s="1"/>
  <c r="AO12" i="9" s="1"/>
  <c r="AO13" i="9" s="1"/>
  <c r="AO14" i="9" s="1"/>
  <c r="AO15" i="9" s="1"/>
  <c r="AO16" i="9" s="1"/>
  <c r="AN17" i="9" s="1"/>
  <c r="AD18" i="9"/>
  <c r="AF7" i="9"/>
  <c r="AF6" i="9"/>
  <c r="AF5" i="9"/>
  <c r="AE5" i="9"/>
  <c r="AE6" i="9" s="1"/>
  <c r="AE7" i="9" s="1"/>
  <c r="AE8" i="9" s="1"/>
  <c r="AE9" i="9" s="1"/>
  <c r="AE10" i="9" s="1"/>
  <c r="AE11" i="9" s="1"/>
  <c r="AE12" i="9" s="1"/>
  <c r="AE13" i="9" s="1"/>
  <c r="AE14" i="9" s="1"/>
  <c r="AE15" i="9" s="1"/>
  <c r="AE16" i="9" s="1"/>
  <c r="AD17" i="9" s="1"/>
  <c r="AN18" i="8"/>
  <c r="AP7" i="8"/>
  <c r="AP6" i="8"/>
  <c r="AP5" i="8"/>
  <c r="AO5" i="8"/>
  <c r="AO6" i="8" s="1"/>
  <c r="AO7" i="8" s="1"/>
  <c r="AO8" i="8" s="1"/>
  <c r="AO9" i="8" s="1"/>
  <c r="AO10" i="8" s="1"/>
  <c r="AO11" i="8" s="1"/>
  <c r="AO12" i="8" s="1"/>
  <c r="AO13" i="8" s="1"/>
  <c r="AO14" i="8" s="1"/>
  <c r="AO15" i="8" s="1"/>
  <c r="AO16" i="8" s="1"/>
  <c r="AN17" i="8" s="1"/>
  <c r="AD22" i="8"/>
  <c r="AD18" i="8"/>
  <c r="AF8" i="8"/>
  <c r="AF7" i="8"/>
  <c r="AF6" i="8"/>
  <c r="AF5" i="8"/>
  <c r="AE5" i="8"/>
  <c r="AE6" i="8" s="1"/>
  <c r="AE7" i="8" s="1"/>
  <c r="AE8" i="8" s="1"/>
  <c r="AE9" i="8" s="1"/>
  <c r="AE10" i="8" s="1"/>
  <c r="AE11" i="8" s="1"/>
  <c r="AE12" i="8" s="1"/>
  <c r="AE13" i="8" s="1"/>
  <c r="AE14" i="8" s="1"/>
  <c r="AE15" i="8" s="1"/>
  <c r="AE16" i="8" s="1"/>
  <c r="AD17" i="8" s="1"/>
  <c r="AN17" i="7"/>
  <c r="AO4" i="7"/>
  <c r="AO5" i="7" s="1"/>
  <c r="AO6" i="7" s="1"/>
  <c r="AO7" i="7" s="1"/>
  <c r="AO8" i="7" s="1"/>
  <c r="AO9" i="7" s="1"/>
  <c r="AO10" i="7" s="1"/>
  <c r="AO11" i="7" s="1"/>
  <c r="AO12" i="7" s="1"/>
  <c r="AO13" i="7" s="1"/>
  <c r="AO14" i="7" s="1"/>
  <c r="AO15" i="7" s="1"/>
  <c r="AN16" i="7" s="1"/>
  <c r="AF10" i="7"/>
  <c r="AF9" i="7"/>
  <c r="AF8" i="7"/>
  <c r="AF7" i="7"/>
  <c r="AF6" i="7"/>
  <c r="AF5" i="7"/>
  <c r="AD22" i="7"/>
  <c r="I22" i="7"/>
  <c r="AD18" i="7"/>
  <c r="AE5" i="7"/>
  <c r="AE6" i="7" s="1"/>
  <c r="AE7" i="7" s="1"/>
  <c r="AE8" i="7" s="1"/>
  <c r="AE9" i="7" s="1"/>
  <c r="AE10" i="7" s="1"/>
  <c r="AE11" i="7" s="1"/>
  <c r="AE12" i="7" s="1"/>
  <c r="AE13" i="7" s="1"/>
  <c r="AE14" i="7" s="1"/>
  <c r="AE15" i="7" s="1"/>
  <c r="AE16" i="7" s="1"/>
  <c r="AD17" i="7" s="1"/>
  <c r="AD19" i="7" s="1"/>
  <c r="AG12" i="6"/>
  <c r="AE18" i="6"/>
  <c r="AG11" i="6"/>
  <c r="AG10" i="6"/>
  <c r="AG9" i="6"/>
  <c r="AG7" i="6"/>
  <c r="AG6" i="6"/>
  <c r="AG5" i="6"/>
  <c r="AF5" i="6"/>
  <c r="AF6" i="6" s="1"/>
  <c r="AF7" i="6" s="1"/>
  <c r="AF8" i="6" s="1"/>
  <c r="AF9" i="6" s="1"/>
  <c r="AF10" i="6" s="1"/>
  <c r="AF11" i="6" s="1"/>
  <c r="AF12" i="6" s="1"/>
  <c r="AF13" i="6" s="1"/>
  <c r="AF14" i="6" s="1"/>
  <c r="AF15" i="6" s="1"/>
  <c r="AF16" i="6" s="1"/>
  <c r="AE17" i="6" s="1"/>
  <c r="AG4" i="6"/>
  <c r="AP23" i="5"/>
  <c r="AP22" i="5"/>
  <c r="AP18" i="5"/>
  <c r="AR7" i="5"/>
  <c r="AR6" i="5"/>
  <c r="AR5" i="5"/>
  <c r="AQ5" i="5"/>
  <c r="AQ6" i="5" s="1"/>
  <c r="AQ7" i="5" s="1"/>
  <c r="AQ8" i="5" s="1"/>
  <c r="AQ9" i="5" s="1"/>
  <c r="AQ10" i="5" s="1"/>
  <c r="AQ11" i="5" s="1"/>
  <c r="AQ12" i="5" s="1"/>
  <c r="AQ13" i="5" s="1"/>
  <c r="AQ14" i="5" s="1"/>
  <c r="AQ15" i="5" s="1"/>
  <c r="AP16" i="5" s="1"/>
  <c r="AR4" i="5"/>
  <c r="AP20" i="5" s="1"/>
  <c r="AQ4" i="5"/>
  <c r="AF24" i="5"/>
  <c r="AF19" i="5"/>
  <c r="AH8" i="5"/>
  <c r="AH7" i="5"/>
  <c r="AH6" i="5"/>
  <c r="AH5" i="5"/>
  <c r="AG5" i="5"/>
  <c r="AG6" i="5" s="1"/>
  <c r="AG7" i="5" s="1"/>
  <c r="AG8" i="5" s="1"/>
  <c r="AG9" i="5" s="1"/>
  <c r="AG10" i="5" s="1"/>
  <c r="AG11" i="5" s="1"/>
  <c r="AG12" i="5" s="1"/>
  <c r="AG13" i="5" s="1"/>
  <c r="AG14" i="5" s="1"/>
  <c r="AG15" i="5" s="1"/>
  <c r="AG16" i="5" s="1"/>
  <c r="AF17" i="5" s="1"/>
  <c r="AS9" i="4"/>
  <c r="AS8" i="4"/>
  <c r="AS7" i="4"/>
  <c r="AS6" i="4"/>
  <c r="AS5" i="4"/>
  <c r="AQ22" i="4"/>
  <c r="AQ18" i="4"/>
  <c r="AR5" i="4"/>
  <c r="AR6" i="4" s="1"/>
  <c r="AR7" i="4" s="1"/>
  <c r="AR8" i="4" s="1"/>
  <c r="AR9" i="4" s="1"/>
  <c r="AR10" i="4" s="1"/>
  <c r="AR11" i="4" s="1"/>
  <c r="AR12" i="4" s="1"/>
  <c r="AR13" i="4" s="1"/>
  <c r="AR14" i="4" s="1"/>
  <c r="AR15" i="4" s="1"/>
  <c r="AR16" i="4" s="1"/>
  <c r="AQ17" i="4" s="1"/>
  <c r="AQ19" i="4" s="1"/>
  <c r="AH7" i="4"/>
  <c r="AH4" i="4"/>
  <c r="AF17" i="4"/>
  <c r="AH5" i="4"/>
  <c r="AG4" i="4"/>
  <c r="AG5" i="4" s="1"/>
  <c r="AG6" i="4" s="1"/>
  <c r="AG7" i="4" s="1"/>
  <c r="AG8" i="4" s="1"/>
  <c r="AG9" i="4" s="1"/>
  <c r="AG10" i="4" s="1"/>
  <c r="AG11" i="4" s="1"/>
  <c r="AG12" i="4" s="1"/>
  <c r="AG13" i="4" s="1"/>
  <c r="AG14" i="4" s="1"/>
  <c r="AG15" i="4" s="1"/>
  <c r="AF16" i="4" s="1"/>
  <c r="AQ17" i="3"/>
  <c r="AS9" i="3"/>
  <c r="AS8" i="3"/>
  <c r="AS7" i="3"/>
  <c r="AS6" i="3"/>
  <c r="AR4" i="3"/>
  <c r="AR5" i="3" s="1"/>
  <c r="AR6" i="3" s="1"/>
  <c r="AR7" i="3" s="1"/>
  <c r="AR8" i="3" s="1"/>
  <c r="AR9" i="3" s="1"/>
  <c r="AR10" i="3" s="1"/>
  <c r="AR11" i="3" s="1"/>
  <c r="AR12" i="3" s="1"/>
  <c r="AR13" i="3" s="1"/>
  <c r="AR14" i="3" s="1"/>
  <c r="AR15" i="3" s="1"/>
  <c r="AQ16" i="3" s="1"/>
  <c r="AS5" i="3"/>
  <c r="AH8" i="3"/>
  <c r="AH7" i="3"/>
  <c r="AH6" i="3"/>
  <c r="AH5" i="3"/>
  <c r="AH4" i="3"/>
  <c r="AH3" i="3"/>
  <c r="AF17" i="3"/>
  <c r="AG4" i="3"/>
  <c r="AG5" i="3" s="1"/>
  <c r="AG6" i="3" s="1"/>
  <c r="AG7" i="3" s="1"/>
  <c r="AG8" i="3" s="1"/>
  <c r="AG9" i="3" s="1"/>
  <c r="AG10" i="3" s="1"/>
  <c r="AG11" i="3" s="1"/>
  <c r="AG12" i="3" s="1"/>
  <c r="AG13" i="3" s="1"/>
  <c r="AG14" i="3" s="1"/>
  <c r="AG15" i="3" s="1"/>
  <c r="AF16" i="3" s="1"/>
  <c r="AR16" i="2"/>
  <c r="AT7" i="2"/>
  <c r="AT6" i="2"/>
  <c r="AT5" i="2"/>
  <c r="AT4" i="2"/>
  <c r="AS3" i="2"/>
  <c r="AS4" i="2" s="1"/>
  <c r="AS5" i="2" s="1"/>
  <c r="AS6" i="2" s="1"/>
  <c r="AS7" i="2" s="1"/>
  <c r="AS8" i="2" s="1"/>
  <c r="AS9" i="2" s="1"/>
  <c r="AS10" i="2" s="1"/>
  <c r="AS11" i="2" s="1"/>
  <c r="AS12" i="2" s="1"/>
  <c r="AS13" i="2" s="1"/>
  <c r="AS14" i="2" s="1"/>
  <c r="AR15" i="2" s="1"/>
  <c r="AR17" i="2" s="1"/>
  <c r="AS13" i="6"/>
  <c r="AS12" i="6"/>
  <c r="AS11" i="6"/>
  <c r="AS6" i="6"/>
  <c r="AS7" i="6"/>
  <c r="AS8" i="6"/>
  <c r="AS9" i="6"/>
  <c r="AS10" i="6"/>
  <c r="AQ18" i="6"/>
  <c r="AR5" i="6"/>
  <c r="AR6" i="6" s="1"/>
  <c r="AR7" i="6" s="1"/>
  <c r="AR8" i="6" s="1"/>
  <c r="AR9" i="6" s="1"/>
  <c r="AR10" i="6" s="1"/>
  <c r="AR11" i="6" s="1"/>
  <c r="AR12" i="6" s="1"/>
  <c r="AR13" i="6" s="1"/>
  <c r="AR14" i="6" s="1"/>
  <c r="AR15" i="6" s="1"/>
  <c r="AR16" i="6" s="1"/>
  <c r="AQ17" i="6" s="1"/>
  <c r="AQ19" i="6" s="1"/>
  <c r="AF16" i="2"/>
  <c r="AH6" i="2"/>
  <c r="AH5" i="2"/>
  <c r="AH4" i="2"/>
  <c r="AH3" i="2"/>
  <c r="AF18" i="2" s="1"/>
  <c r="AG3" i="2"/>
  <c r="AG4" i="2" s="1"/>
  <c r="AG5" i="2" s="1"/>
  <c r="AG6" i="2" s="1"/>
  <c r="AG7" i="2" s="1"/>
  <c r="AG8" i="2" s="1"/>
  <c r="AG9" i="2" s="1"/>
  <c r="AG10" i="2" s="1"/>
  <c r="AG11" i="2" s="1"/>
  <c r="AG12" i="2" s="1"/>
  <c r="AG13" i="2" s="1"/>
  <c r="AG14" i="2" s="1"/>
  <c r="AF15" i="2" s="1"/>
  <c r="T23" i="8"/>
  <c r="L10" i="5"/>
  <c r="J27" i="5"/>
  <c r="T20" i="9"/>
  <c r="T22" i="9"/>
  <c r="V9" i="9"/>
  <c r="V8" i="9"/>
  <c r="V7" i="9"/>
  <c r="V6" i="9"/>
  <c r="V5" i="9"/>
  <c r="T18" i="9"/>
  <c r="T17" i="9"/>
  <c r="T21" i="9" s="1"/>
  <c r="U6" i="9"/>
  <c r="U7" i="9" s="1"/>
  <c r="U8" i="9" s="1"/>
  <c r="U9" i="9" s="1"/>
  <c r="U10" i="9" s="1"/>
  <c r="U11" i="9" s="1"/>
  <c r="U12" i="9" s="1"/>
  <c r="U13" i="9" s="1"/>
  <c r="U14" i="9" s="1"/>
  <c r="U15" i="9" s="1"/>
  <c r="U16" i="9" s="1"/>
  <c r="U5" i="9"/>
  <c r="K8" i="9"/>
  <c r="I22" i="9" s="1"/>
  <c r="K7" i="9"/>
  <c r="K6" i="9"/>
  <c r="K5" i="9"/>
  <c r="I20" i="9" s="1"/>
  <c r="I18" i="9"/>
  <c r="J5" i="9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I17" i="9" s="1"/>
  <c r="V25" i="10"/>
  <c r="J25" i="10"/>
  <c r="V24" i="10"/>
  <c r="J24" i="10"/>
  <c r="V20" i="10"/>
  <c r="J20" i="10"/>
  <c r="W19" i="10"/>
  <c r="V19" i="10"/>
  <c r="K19" i="10"/>
  <c r="W18" i="10"/>
  <c r="J18" i="10"/>
  <c r="J19" i="10" s="1"/>
  <c r="L10" i="10"/>
  <c r="X9" i="10"/>
  <c r="L9" i="10"/>
  <c r="X8" i="10"/>
  <c r="L8" i="10"/>
  <c r="X7" i="10"/>
  <c r="L7" i="10"/>
  <c r="X6" i="10"/>
  <c r="W6" i="10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V18" i="10" s="1"/>
  <c r="L6" i="10"/>
  <c r="K6" i="10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T19" i="8"/>
  <c r="V11" i="8"/>
  <c r="V10" i="8"/>
  <c r="V9" i="8"/>
  <c r="V8" i="8"/>
  <c r="T21" i="8" s="1"/>
  <c r="V7" i="8"/>
  <c r="V6" i="8"/>
  <c r="U6" i="8"/>
  <c r="U7" i="8" s="1"/>
  <c r="U8" i="8" s="1"/>
  <c r="U9" i="8" s="1"/>
  <c r="U10" i="8" s="1"/>
  <c r="U11" i="8" s="1"/>
  <c r="U12" i="8" s="1"/>
  <c r="U13" i="8" s="1"/>
  <c r="U14" i="8" s="1"/>
  <c r="U15" i="8" s="1"/>
  <c r="U16" i="8" s="1"/>
  <c r="U17" i="8" s="1"/>
  <c r="T18" i="8" s="1"/>
  <c r="I23" i="8"/>
  <c r="I21" i="8"/>
  <c r="K11" i="8"/>
  <c r="K10" i="8"/>
  <c r="K9" i="8"/>
  <c r="K8" i="8"/>
  <c r="K7" i="8"/>
  <c r="K6" i="8"/>
  <c r="I19" i="8"/>
  <c r="J6" i="8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I18" i="8" s="1"/>
  <c r="T22" i="7"/>
  <c r="T21" i="7"/>
  <c r="T20" i="7"/>
  <c r="V10" i="7"/>
  <c r="V9" i="7"/>
  <c r="V8" i="7"/>
  <c r="V7" i="7"/>
  <c r="V6" i="7"/>
  <c r="V5" i="7"/>
  <c r="T19" i="7"/>
  <c r="T18" i="7"/>
  <c r="T17" i="7"/>
  <c r="U6" i="7"/>
  <c r="U7" i="7" s="1"/>
  <c r="U8" i="7" s="1"/>
  <c r="U9" i="7" s="1"/>
  <c r="U10" i="7" s="1"/>
  <c r="U11" i="7" s="1"/>
  <c r="U12" i="7" s="1"/>
  <c r="U13" i="7" s="1"/>
  <c r="U14" i="7" s="1"/>
  <c r="U15" i="7" s="1"/>
  <c r="U16" i="7" s="1"/>
  <c r="U5" i="7"/>
  <c r="I18" i="7"/>
  <c r="K9" i="7"/>
  <c r="K8" i="7"/>
  <c r="K7" i="7"/>
  <c r="K6" i="7"/>
  <c r="K5" i="7"/>
  <c r="J5" i="7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I17" i="7" s="1"/>
  <c r="T22" i="6"/>
  <c r="V11" i="6"/>
  <c r="V10" i="6"/>
  <c r="V9" i="6"/>
  <c r="V8" i="6"/>
  <c r="V7" i="6"/>
  <c r="V6" i="6"/>
  <c r="V5" i="6"/>
  <c r="V4" i="6"/>
  <c r="T18" i="6"/>
  <c r="U5" i="6"/>
  <c r="U6" i="6" s="1"/>
  <c r="U7" i="6" s="1"/>
  <c r="U8" i="6" s="1"/>
  <c r="U9" i="6" s="1"/>
  <c r="U10" i="6" s="1"/>
  <c r="U11" i="6" s="1"/>
  <c r="U12" i="6" s="1"/>
  <c r="U13" i="6" s="1"/>
  <c r="U14" i="6" s="1"/>
  <c r="U15" i="6" s="1"/>
  <c r="U16" i="6" s="1"/>
  <c r="T17" i="6" s="1"/>
  <c r="I22" i="6"/>
  <c r="K10" i="6"/>
  <c r="K9" i="6"/>
  <c r="K8" i="6"/>
  <c r="K7" i="6"/>
  <c r="K6" i="6"/>
  <c r="K5" i="6"/>
  <c r="K4" i="6"/>
  <c r="I18" i="6"/>
  <c r="J5" i="6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I17" i="6" s="1"/>
  <c r="V28" i="5"/>
  <c r="V27" i="5"/>
  <c r="V23" i="5"/>
  <c r="K22" i="5"/>
  <c r="L13" i="5"/>
  <c r="X12" i="5"/>
  <c r="L12" i="5"/>
  <c r="X11" i="5"/>
  <c r="L11" i="5"/>
  <c r="X10" i="5"/>
  <c r="X9" i="5"/>
  <c r="W9" i="5"/>
  <c r="W10" i="5" s="1"/>
  <c r="W11" i="5" s="1"/>
  <c r="W12" i="5" s="1"/>
  <c r="W13" i="5" s="1"/>
  <c r="W14" i="5" s="1"/>
  <c r="W15" i="5" s="1"/>
  <c r="W16" i="5" s="1"/>
  <c r="W17" i="5" s="1"/>
  <c r="W18" i="5" s="1"/>
  <c r="W19" i="5" s="1"/>
  <c r="W20" i="5" s="1"/>
  <c r="V21" i="5" s="1"/>
  <c r="J25" i="5"/>
  <c r="V7" i="4"/>
  <c r="T22" i="4" s="1"/>
  <c r="V6" i="4"/>
  <c r="V5" i="4"/>
  <c r="T18" i="4"/>
  <c r="U5" i="4"/>
  <c r="U6" i="4" s="1"/>
  <c r="U7" i="4" s="1"/>
  <c r="U8" i="4" s="1"/>
  <c r="U9" i="4" s="1"/>
  <c r="U10" i="4" s="1"/>
  <c r="U11" i="4" s="1"/>
  <c r="U12" i="4" s="1"/>
  <c r="U13" i="4" s="1"/>
  <c r="U14" i="4" s="1"/>
  <c r="U15" i="4" s="1"/>
  <c r="U16" i="4" s="1"/>
  <c r="T17" i="4" s="1"/>
  <c r="I22" i="4"/>
  <c r="I18" i="4"/>
  <c r="K9" i="4"/>
  <c r="K8" i="4"/>
  <c r="K7" i="4"/>
  <c r="K6" i="4"/>
  <c r="K5" i="4"/>
  <c r="J5" i="4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I17" i="4" s="1"/>
  <c r="V12" i="3"/>
  <c r="V11" i="3"/>
  <c r="V10" i="3"/>
  <c r="V9" i="3"/>
  <c r="V8" i="3"/>
  <c r="V7" i="3"/>
  <c r="V6" i="3"/>
  <c r="V5" i="3"/>
  <c r="T18" i="3"/>
  <c r="U5" i="3"/>
  <c r="U6" i="3" s="1"/>
  <c r="U7" i="3" s="1"/>
  <c r="U8" i="3" s="1"/>
  <c r="U9" i="3" s="1"/>
  <c r="U10" i="3" s="1"/>
  <c r="U11" i="3" s="1"/>
  <c r="U12" i="3" s="1"/>
  <c r="U13" i="3" s="1"/>
  <c r="U14" i="3" s="1"/>
  <c r="U15" i="3" s="1"/>
  <c r="U16" i="3" s="1"/>
  <c r="T17" i="3" s="1"/>
  <c r="I22" i="3"/>
  <c r="K11" i="3"/>
  <c r="K10" i="3"/>
  <c r="K9" i="3"/>
  <c r="K8" i="3"/>
  <c r="K7" i="3"/>
  <c r="K6" i="3"/>
  <c r="K5" i="3"/>
  <c r="I18" i="3"/>
  <c r="J5" i="3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I17" i="3" s="1"/>
  <c r="J1" i="3"/>
  <c r="T21" i="2"/>
  <c r="V9" i="2"/>
  <c r="V8" i="2"/>
  <c r="V7" i="2"/>
  <c r="V6" i="2"/>
  <c r="V5" i="2"/>
  <c r="V4" i="2"/>
  <c r="T17" i="2"/>
  <c r="U4" i="2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T16" i="2" s="1"/>
  <c r="K9" i="2"/>
  <c r="K8" i="2"/>
  <c r="K7" i="2"/>
  <c r="I21" i="2" s="1"/>
  <c r="K6" i="2"/>
  <c r="K5" i="2"/>
  <c r="K4" i="2"/>
  <c r="I19" i="2" s="1"/>
  <c r="J4" i="2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I16" i="2" s="1"/>
  <c r="I17" i="2"/>
  <c r="W171" i="1"/>
  <c r="W170" i="1"/>
  <c r="Y155" i="1"/>
  <c r="Y154" i="1"/>
  <c r="W168" i="1" s="1"/>
  <c r="Y153" i="1"/>
  <c r="Y152" i="1"/>
  <c r="P171" i="1"/>
  <c r="P170" i="1"/>
  <c r="P168" i="1"/>
  <c r="R155" i="1"/>
  <c r="R156" i="1"/>
  <c r="R154" i="1"/>
  <c r="R153" i="1"/>
  <c r="R152" i="1"/>
  <c r="Q152" i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P152" i="1"/>
  <c r="P166" i="1" s="1"/>
  <c r="X164" i="1"/>
  <c r="Q164" i="1"/>
  <c r="J164" i="1"/>
  <c r="F165" i="1"/>
  <c r="J165" i="1"/>
  <c r="Q165" i="1"/>
  <c r="W166" i="1"/>
  <c r="X152" i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W164" i="1" s="1"/>
  <c r="W169" i="1" s="1"/>
  <c r="E170" i="1"/>
  <c r="I170" i="1"/>
  <c r="I171" i="1"/>
  <c r="E171" i="1"/>
  <c r="G156" i="1"/>
  <c r="G155" i="1"/>
  <c r="G154" i="1"/>
  <c r="G153" i="1"/>
  <c r="G152" i="1"/>
  <c r="E166" i="1"/>
  <c r="E164" i="1"/>
  <c r="E165" i="1" s="1"/>
  <c r="F152" i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J152" i="1"/>
  <c r="J153" i="1" s="1"/>
  <c r="K155" i="1"/>
  <c r="K154" i="1"/>
  <c r="K153" i="1"/>
  <c r="K152" i="1"/>
  <c r="I166" i="1"/>
  <c r="I165" i="1"/>
  <c r="I18" i="2" l="1"/>
  <c r="CD22" i="10"/>
  <c r="BT20" i="10"/>
  <c r="BT22" i="10"/>
  <c r="BR20" i="9"/>
  <c r="BR21" i="9"/>
  <c r="BZ21" i="8"/>
  <c r="BP21" i="8"/>
  <c r="CB19" i="7"/>
  <c r="CB20" i="7" s="1"/>
  <c r="BR20" i="7"/>
  <c r="CE20" i="6"/>
  <c r="BU20" i="6"/>
  <c r="CD19" i="5"/>
  <c r="CD20" i="5" s="1"/>
  <c r="CD18" i="5"/>
  <c r="CD16" i="5"/>
  <c r="BT19" i="5"/>
  <c r="BT20" i="5" s="1"/>
  <c r="BT16" i="5"/>
  <c r="CE20" i="4"/>
  <c r="BU20" i="4"/>
  <c r="CE20" i="3"/>
  <c r="BU19" i="3"/>
  <c r="BU20" i="3" s="1"/>
  <c r="CF17" i="2"/>
  <c r="CF19" i="2"/>
  <c r="BV17" i="2"/>
  <c r="BV18" i="2"/>
  <c r="BV19" i="2"/>
  <c r="BJ20" i="10"/>
  <c r="BJ22" i="10"/>
  <c r="AZ20" i="10"/>
  <c r="AZ22" i="10"/>
  <c r="BH21" i="9"/>
  <c r="AX19" i="9"/>
  <c r="AX21" i="9"/>
  <c r="BF20" i="8"/>
  <c r="BF21" i="8" s="1"/>
  <c r="AV19" i="8"/>
  <c r="AV21" i="8"/>
  <c r="BH20" i="7"/>
  <c r="AX20" i="7"/>
  <c r="BK18" i="6"/>
  <c r="BK20" i="6"/>
  <c r="BA20" i="6"/>
  <c r="BJ21" i="5"/>
  <c r="BJ17" i="5"/>
  <c r="AZ21" i="5"/>
  <c r="AZ17" i="5"/>
  <c r="BK20" i="4"/>
  <c r="BK18" i="4"/>
  <c r="BK20" i="3"/>
  <c r="BA20" i="3"/>
  <c r="BL17" i="2"/>
  <c r="BL18" i="2"/>
  <c r="BL19" i="2" s="1"/>
  <c r="BB18" i="2"/>
  <c r="BB19" i="2" s="1"/>
  <c r="AN20" i="7"/>
  <c r="AE20" i="6"/>
  <c r="AF20" i="5"/>
  <c r="AF21" i="5"/>
  <c r="AF22" i="10"/>
  <c r="AD19" i="9"/>
  <c r="AN19" i="8"/>
  <c r="AF18" i="4"/>
  <c r="AF18" i="3"/>
  <c r="AF20" i="3"/>
  <c r="AR19" i="2"/>
  <c r="AF17" i="2"/>
  <c r="AP20" i="10"/>
  <c r="AP22" i="10"/>
  <c r="AF20" i="10"/>
  <c r="AN19" i="9"/>
  <c r="AN21" i="9"/>
  <c r="AD21" i="9"/>
  <c r="AN21" i="8"/>
  <c r="AD19" i="8"/>
  <c r="AD21" i="8"/>
  <c r="AN18" i="7"/>
  <c r="AD20" i="7"/>
  <c r="AD21" i="7" s="1"/>
  <c r="AE19" i="6"/>
  <c r="AE21" i="6"/>
  <c r="AQ21" i="6"/>
  <c r="AP19" i="5"/>
  <c r="AP21" i="5"/>
  <c r="AP17" i="5"/>
  <c r="AF22" i="5"/>
  <c r="AF18" i="5"/>
  <c r="AQ21" i="4"/>
  <c r="AF20" i="4"/>
  <c r="AQ18" i="3"/>
  <c r="AQ20" i="3"/>
  <c r="AF19" i="2"/>
  <c r="T19" i="9"/>
  <c r="I19" i="9"/>
  <c r="I21" i="9"/>
  <c r="T22" i="8"/>
  <c r="T20" i="8"/>
  <c r="I22" i="8"/>
  <c r="I20" i="8"/>
  <c r="I20" i="7"/>
  <c r="I21" i="7" s="1"/>
  <c r="I19" i="7"/>
  <c r="T20" i="6"/>
  <c r="T21" i="6" s="1"/>
  <c r="I20" i="6"/>
  <c r="T19" i="6"/>
  <c r="I19" i="6"/>
  <c r="I21" i="6"/>
  <c r="T19" i="2"/>
  <c r="T18" i="2"/>
  <c r="T20" i="2"/>
  <c r="V24" i="5"/>
  <c r="I21" i="4"/>
  <c r="I19" i="4"/>
  <c r="T21" i="4"/>
  <c r="T19" i="4"/>
  <c r="I19" i="3"/>
  <c r="I20" i="3"/>
  <c r="I21" i="3" s="1"/>
  <c r="T22" i="3"/>
  <c r="T20" i="3"/>
  <c r="T21" i="3" s="1"/>
  <c r="T19" i="3"/>
  <c r="V22" i="10"/>
  <c r="V23" i="10" s="1"/>
  <c r="J22" i="10"/>
  <c r="J23" i="10" s="1"/>
  <c r="J21" i="10"/>
  <c r="V21" i="10"/>
  <c r="V25" i="5"/>
  <c r="V26" i="5" s="1"/>
  <c r="J28" i="5"/>
  <c r="V22" i="5"/>
  <c r="K9" i="5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J21" i="5" s="1"/>
  <c r="J23" i="5"/>
  <c r="I20" i="2"/>
  <c r="P164" i="1"/>
  <c r="P169" i="1" s="1"/>
  <c r="E167" i="1"/>
  <c r="E168" i="1"/>
  <c r="E169" i="1" s="1"/>
  <c r="P167" i="1"/>
  <c r="P165" i="1"/>
  <c r="W165" i="1"/>
  <c r="W167" i="1"/>
  <c r="J154" i="1"/>
  <c r="J155" i="1" s="1"/>
  <c r="J156" i="1" s="1"/>
  <c r="J157" i="1" s="1"/>
  <c r="J158" i="1" s="1"/>
  <c r="J159" i="1" s="1"/>
  <c r="J160" i="1" s="1"/>
  <c r="J161" i="1" s="1"/>
  <c r="J162" i="1" s="1"/>
  <c r="J163" i="1" s="1"/>
  <c r="I164" i="1" s="1"/>
  <c r="I169" i="1" s="1"/>
  <c r="I168" i="1"/>
  <c r="J26" i="5" l="1"/>
  <c r="J24" i="5"/>
  <c r="J22" i="5"/>
  <c r="I167" i="1"/>
</calcChain>
</file>

<file path=xl/sharedStrings.xml><?xml version="1.0" encoding="utf-8"?>
<sst xmlns="http://schemas.openxmlformats.org/spreadsheetml/2006/main" count="10793" uniqueCount="3081">
  <si>
    <t># Januari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</si>
  <si>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</si>
  <si>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</si>
  <si>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</si>
  <si>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</si>
  <si>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</si>
  <si>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</si>
  <si>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</si>
  <si>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</si>
  <si>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</si>
  <si>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</si>
  <si>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Februari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</si>
  <si>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</si>
  <si>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</si>
  <si>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</si>
  <si>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</si>
  <si>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</si>
  <si>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</si>
  <si>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</si>
  <si>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</si>
  <si>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</si>
  <si>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</si>
  <si>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Mars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</si>
  <si>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</si>
  <si>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</si>
  <si>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</si>
  <si>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</si>
  <si>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</si>
  <si>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</si>
  <si>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</si>
  <si>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</si>
  <si>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</si>
  <si>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</si>
  <si>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April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</si>
  <si>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</si>
  <si>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</si>
  <si>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</si>
  <si>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</si>
  <si>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</si>
  <si>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</si>
  <si>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</si>
  <si>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</si>
  <si>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</si>
  <si>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</si>
  <si>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Maj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</si>
  <si>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</si>
  <si>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</si>
  <si>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</si>
  <si>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</si>
  <si>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</si>
  <si>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</si>
  <si>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</si>
  <si>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</si>
  <si>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</si>
  <si>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</si>
  <si>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Juni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</si>
  <si>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</si>
  <si>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</si>
  <si>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</si>
  <si>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</si>
  <si>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</si>
  <si>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</si>
  <si>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</si>
  <si>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</si>
  <si>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</si>
  <si>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</si>
  <si>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Juli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</si>
  <si>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</si>
  <si>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</si>
  <si>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</si>
  <si>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</si>
  <si>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</si>
  <si>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</si>
  <si>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</si>
  <si>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</si>
  <si>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</si>
  <si>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</si>
  <si>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Augusti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</si>
  <si>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</si>
  <si>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</si>
  <si>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</si>
  <si>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</si>
  <si>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</si>
  <si>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</si>
  <si>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</si>
  <si>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</si>
  <si>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</si>
  <si>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</si>
  <si>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September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</si>
  <si>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</si>
  <si>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</si>
  <si>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</si>
  <si>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</si>
  <si>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</si>
  <si>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</si>
  <si>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</si>
  <si>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</si>
  <si>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</si>
  <si>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</si>
  <si>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Oktober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</si>
  <si>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</si>
  <si>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</si>
  <si>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</si>
  <si>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</si>
  <si>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</si>
  <si>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</si>
  <si>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</si>
  <si>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</si>
  <si>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</si>
  <si>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</si>
  <si>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November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</si>
  <si>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</si>
  <si>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</si>
  <si>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</si>
  <si>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</si>
  <si>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</si>
  <si>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</si>
  <si>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</si>
  <si>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</si>
  <si>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</si>
  <si>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</si>
  <si>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December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</si>
  <si>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</si>
  <si>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</si>
  <si>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</si>
  <si>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</si>
  <si>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</si>
  <si>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</si>
  <si>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</si>
  <si>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</si>
  <si>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</si>
  <si>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</si>
  <si>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]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</si>
  <si>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#2025, VIKTAD</t>
    </r>
  </si>
  <si>
    <t>Testa en med kostnad på 0,03 kostnad per trade, och en utan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</si>
  <si>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#2025, Lika viktning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</si>
  <si>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</si>
  <si>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</si>
  <si>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</si>
  <si>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</si>
  <si>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</si>
  <si>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</si>
  <si>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</si>
  <si>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</si>
  <si>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</si>
  <si>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</si>
  <si>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</si>
  <si>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</si>
  <si>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</si>
  <si>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</si>
  <si>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</si>
  <si>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</si>
  <si>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</si>
  <si>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</si>
  <si>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</si>
  <si>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</si>
  <si>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</si>
  <si>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</si>
  <si>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</si>
  <si>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</si>
  <si>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</si>
  <si>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</si>
  <si>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</si>
  <si>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</si>
  <si>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</si>
  <si>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</si>
  <si>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</si>
  <si>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</si>
  <si>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Risk free rate</t>
  </si>
  <si>
    <t xml:space="preserve">Yearly </t>
  </si>
  <si>
    <t>Montly</t>
  </si>
  <si>
    <t>Sharpe</t>
  </si>
  <si>
    <t>Medelavkastning(Månad)</t>
  </si>
  <si>
    <t>Avkastning</t>
  </si>
  <si>
    <t>Portfolio returns 2025</t>
  </si>
  <si>
    <t>Lika viktad</t>
  </si>
  <si>
    <t>Viktad signal</t>
  </si>
  <si>
    <t>Sortino</t>
  </si>
  <si>
    <t>Volatilitet(drawdown)</t>
  </si>
  <si>
    <t>Max drawdown</t>
  </si>
  <si>
    <t>Drawdown</t>
  </si>
  <si>
    <t>Volatilitet(år)</t>
  </si>
  <si>
    <t>Omega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</si>
  <si>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#ViktaD, 2020</t>
    </r>
  </si>
  <si>
    <t># 2020-01</t>
  </si>
  <si>
    <t># 2020-02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</si>
  <si>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</si>
  <si>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2020-03</t>
  </si>
  <si>
    <t># 2020-04</t>
  </si>
  <si>
    <t># 2020-05</t>
  </si>
  <si>
    <t># 2020-06</t>
  </si>
  <si>
    <t># 2020-07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</si>
  <si>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</si>
  <si>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2020-09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</si>
  <si>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</si>
  <si>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</si>
  <si>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</si>
  <si>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2020-10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</si>
  <si>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</si>
  <si>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</si>
  <si>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2020-11</t>
  </si>
  <si>
    <t>Portfolio returns 2020</t>
  </si>
  <si>
    <t>Likaviktad</t>
  </si>
  <si>
    <t>per månad</t>
  </si>
  <si>
    <t>per år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</si>
  <si>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</si>
  <si>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</si>
  <si>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</si>
  <si>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</si>
  <si>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</si>
  <si>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</si>
  <si>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</si>
  <si>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</si>
  <si>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</si>
  <si>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</si>
  <si>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</si>
  <si>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</si>
  <si>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</si>
  <si>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"SPHD"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</si>
  <si>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</si>
  <si>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</si>
  <si>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</si>
  <si>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</si>
  <si>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</si>
  <si>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</si>
  <si>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</si>
  <si>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</si>
  <si>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</si>
  <si>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{"month": "2020-03", "ticker": "SCHP", "side": "long"},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</si>
  <si>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</si>
  <si>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</si>
  <si>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</si>
  <si>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</si>
  <si>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</si>
  <si>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</si>
  <si>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</si>
  <si>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</si>
  <si>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</si>
  <si>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</si>
  <si>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</si>
  <si>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</si>
  <si>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</si>
  <si>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</si>
  <si>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</si>
  <si>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</si>
  <si>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</si>
  <si>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</si>
  <si>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</si>
  <si>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</si>
  <si>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</si>
  <si>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</si>
  <si>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</si>
  <si>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</si>
  <si>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</si>
  <si>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</si>
  <si>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</si>
  <si>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</si>
  <si>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</si>
  <si>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</si>
  <si>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</si>
  <si>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</si>
  <si>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</si>
  <si>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</si>
  <si>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</si>
  <si>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</si>
  <si>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</si>
  <si>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</si>
  <si>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</si>
  <si>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</si>
  <si>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</si>
  <si>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</si>
  <si>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</si>
  <si>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</si>
  <si>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</si>
  <si>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</si>
  <si>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</si>
  <si>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</si>
  <si>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</si>
  <si>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</si>
  <si>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</si>
  <si>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</si>
  <si>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</si>
  <si>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</si>
  <si>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</si>
  <si>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</si>
  <si>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</si>
  <si>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</si>
  <si>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</si>
  <si>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</si>
  <si>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</si>
  <si>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</si>
  <si>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</si>
  <si>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</si>
  <si>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</si>
  <si>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</si>
  <si>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</si>
  <si>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</si>
  <si>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</si>
  <si>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</si>
  <si>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</si>
  <si>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</si>
  <si>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</si>
  <si>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</si>
  <si>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</si>
  <si>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</si>
  <si>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</si>
  <si>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</si>
  <si>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</si>
  <si>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</si>
  <si>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2020-12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</si>
  <si>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</si>
  <si>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</si>
  <si>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</si>
  <si>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</si>
  <si>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</si>
  <si>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</si>
  <si>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</si>
  <si>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</si>
  <si>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</si>
  <si>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</si>
  <si>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Dubbelkolla här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</si>
  <si>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#Likviktad 2020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</si>
  <si>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</si>
  <si>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</si>
  <si>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</si>
  <si>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</si>
  <si>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</si>
  <si>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</si>
  <si>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</si>
  <si>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</si>
  <si>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</si>
  <si>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</si>
  <si>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># 2020-02 (tidigare 2020-01)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</si>
  <si>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</si>
  <si>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2020-03 (tidigare 2020-02)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</si>
  <si>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</si>
  <si>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</si>
  <si>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</si>
  <si>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</si>
  <si>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</si>
  <si>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2020-04 (från 2020-03)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</si>
  <si>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</si>
  <si>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2020-05 (från 2020-04)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</si>
  <si>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</si>
  <si>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2020-06 (från 2020-05)</t>
  </si>
  <si>
    <t># 2020-07 (från 2020-06)</t>
  </si>
  <si>
    <t># 2020-08 (från 2020-07)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</si>
  <si>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</si>
  <si>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2020-09 (från 2020-08)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</si>
  <si>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</si>
  <si>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</si>
  <si>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</si>
  <si>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2020-10 (från 2020-09)</t>
  </si>
  <si>
    <t># 2020-11 (från 2020-10)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</si>
  <si>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</si>
  <si>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</si>
  <si>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</si>
  <si>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</si>
  <si>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2020-12 (från 2020-11)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</si>
  <si>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</si>
  <si>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</si>
  <si>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</si>
  <si>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</si>
  <si>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</si>
  <si>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</si>
  <si>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</si>
  <si>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</si>
  <si>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</si>
  <si>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</si>
  <si>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</si>
  <si>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</si>
  <si>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</si>
  <si>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</si>
  <si>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</si>
  <si>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</si>
  <si>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</si>
  <si>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</si>
  <si>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</si>
  <si>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</si>
  <si>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</si>
  <si>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</si>
  <si>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</si>
  <si>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</si>
  <si>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</si>
  <si>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</si>
  <si>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</si>
  <si>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</si>
  <si>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</si>
  <si>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</si>
  <si>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</si>
  <si>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</si>
  <si>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</si>
  <si>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</si>
  <si>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</si>
  <si>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</si>
  <si>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</si>
  <si>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</si>
  <si>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</si>
  <si>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</si>
  <si>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</si>
  <si>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</si>
  <si>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</si>
  <si>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</si>
  <si>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</si>
  <si>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</si>
  <si>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</si>
  <si>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</si>
  <si>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</si>
  <si>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</si>
  <si>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</si>
  <si>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</si>
  <si>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</si>
  <si>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</si>
  <si>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</si>
  <si>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</si>
  <si>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</si>
  <si>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</si>
  <si>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</si>
  <si>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</si>
  <si>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</si>
  <si>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</si>
  <si>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</si>
  <si>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</si>
  <si>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</si>
  <si>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</si>
  <si>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</si>
  <si>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</si>
  <si>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</si>
  <si>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</si>
  <si>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</si>
  <si>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</si>
  <si>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</si>
  <si>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</si>
  <si>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</si>
  <si>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</si>
  <si>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</si>
  <si>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</si>
  <si>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</si>
  <si>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</si>
  <si>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</si>
  <si>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</si>
  <si>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</si>
  <si>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</si>
  <si>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</si>
  <si>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</si>
  <si>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</si>
  <si>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</si>
  <si>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</si>
  <si>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</si>
  <si>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</si>
  <si>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</si>
  <si>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</si>
  <si>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</si>
  <si>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</si>
  <si>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</si>
  <si>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</si>
  <si>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</si>
  <si>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</si>
  <si>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</si>
  <si>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</si>
  <si>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</si>
  <si>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</si>
  <si>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</si>
  <si>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</si>
  <si>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</si>
  <si>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</si>
  <si>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</si>
  <si>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</si>
  <si>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</si>
  <si>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</si>
  <si>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</si>
  <si>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Portfolio returns</t>
  </si>
  <si>
    <t>Volatilitet</t>
  </si>
  <si>
    <t>Start value</t>
  </si>
  <si>
    <t>Vol(Drawdown)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</si>
  <si>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</t>
    </r>
  </si>
  <si>
    <t># Likviktad 2017-01 (från 2016-12)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</si>
  <si>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</si>
  <si>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</si>
  <si>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</si>
  <si>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2017-02 (från 2017-01)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</si>
  <si>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</si>
  <si>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</si>
  <si>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</si>
  <si>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2017-03 (från 2017-02)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</si>
  <si>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</si>
  <si>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</si>
  <si>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</si>
  <si>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</si>
  <si>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2017-04 (från 2017-03)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</si>
  <si>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</si>
  <si>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</si>
  <si>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</si>
  <si>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2017-05 (från 2017-04)</t>
  </si>
  <si>
    <t># Likviktad 2017-06 (från 2017-05)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</si>
  <si>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</si>
  <si>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2017-07 (från 2017-06)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</si>
  <si>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</si>
  <si>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</si>
  <si>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2017-08 (från 2017-07)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</si>
  <si>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</si>
  <si>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</si>
  <si>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</si>
  <si>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</si>
  <si>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2017-09 (från 2017-08)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</si>
  <si>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</si>
  <si>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</si>
  <si>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</si>
  <si>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2017-10 (från 2017-09)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</si>
  <si>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</si>
  <si>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</si>
  <si>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2017-11 (från 2017-10)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</si>
  <si>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</si>
  <si>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</si>
  <si>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2017-12 (från 2017-11)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</si>
  <si>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</si>
  <si>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</si>
  <si>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</si>
  <si>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</si>
  <si>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</si>
  <si>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</si>
  <si>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</si>
  <si>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</si>
  <si>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</si>
  <si>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</si>
  <si>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</si>
  <si>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</si>
  <si>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</si>
  <si>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</si>
  <si>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</si>
  <si>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</si>
  <si>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</si>
  <si>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</si>
  <si>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</si>
  <si>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</si>
  <si>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</si>
  <si>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</si>
  <si>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</si>
  <si>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</si>
  <si>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</si>
  <si>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</si>
  <si>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</si>
  <si>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</si>
  <si>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</si>
  <si>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</si>
  <si>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</si>
  <si>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</si>
  <si>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</si>
  <si>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</si>
  <si>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</si>
  <si>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</si>
  <si>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</si>
  <si>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</si>
  <si>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</si>
  <si>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</si>
  <si>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</si>
  <si>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</si>
  <si>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</si>
  <si>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</si>
  <si>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</si>
  <si>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</si>
  <si>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</si>
  <si>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</si>
  <si>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</si>
  <si>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</si>
  <si>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</si>
  <si>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</si>
  <si>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</si>
  <si>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</si>
  <si>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</si>
  <si>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</si>
  <si>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"FEX"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</si>
  <si>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</si>
  <si>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</si>
  <si>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</si>
  <si>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</si>
  <si>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</si>
  <si>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</si>
  <si>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</si>
  <si>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</si>
  <si>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</si>
  <si>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</si>
  <si>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</si>
  <si>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</si>
  <si>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</si>
  <si>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</si>
  <si>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</si>
  <si>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</si>
  <si>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</si>
  <si>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</si>
  <si>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</si>
  <si>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</si>
  <si>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</si>
  <si>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</si>
  <si>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</si>
  <si>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</si>
  <si>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</si>
  <si>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</si>
  <si>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</si>
  <si>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</si>
  <si>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</si>
  <si>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</si>
  <si>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</si>
  <si>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</si>
  <si>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</si>
  <si>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</si>
  <si>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</si>
  <si>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</si>
  <si>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</si>
  <si>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</si>
  <si>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</si>
  <si>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</si>
  <si>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</si>
  <si>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</si>
  <si>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</si>
  <si>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</si>
  <si>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</si>
  <si>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</si>
  <si>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</si>
  <si>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</si>
  <si>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2018-01 (från 2017-12)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</si>
  <si>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</si>
  <si>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</si>
  <si>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2018-02 (från 2018-01)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</si>
  <si>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</si>
  <si>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</si>
  <si>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</si>
  <si>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</si>
  <si>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</si>
  <si>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</si>
  <si>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</si>
  <si>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2018-03 (från 2018-02)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</si>
  <si>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</si>
  <si>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</si>
  <si>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</si>
  <si>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2018-04 (från 2018-03)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</si>
  <si>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</si>
  <si>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2018-05 (från 2018-04)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</si>
  <si>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</si>
  <si>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</si>
  <si>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</si>
  <si>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</si>
  <si>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2018-06 (från 2018-05)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</si>
  <si>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</si>
  <si>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2018-07 (från 2018-06)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</si>
  <si>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</si>
  <si>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</si>
  <si>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2018-08 (från 2018-07)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</si>
  <si>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</si>
  <si>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</si>
  <si>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</si>
  <si>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</si>
  <si>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</si>
  <si>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</si>
  <si>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2018-09 (från 2018-08)</t>
  </si>
  <si>
    <t># Likviktad 2018-10 (från 2018-09)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</si>
  <si>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</si>
  <si>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</si>
  <si>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2018-11 (från 2018-10)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</si>
  <si>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</si>
  <si>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2018-12 (från 2018-11)</t>
  </si>
  <si>
    <t>Start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</si>
  <si>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</si>
  <si>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</si>
  <si>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</si>
  <si>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</si>
  <si>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</si>
  <si>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</si>
  <si>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</si>
  <si>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</si>
  <si>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</si>
  <si>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</si>
  <si>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</si>
  <si>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</si>
  <si>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</si>
  <si>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</si>
  <si>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</si>
  <si>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</si>
  <si>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</si>
  <si>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</si>
  <si>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</si>
  <si>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</si>
  <si>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</si>
  <si>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</si>
  <si>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</si>
  <si>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</si>
  <si>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</si>
  <si>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</si>
  <si>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</si>
  <si>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</si>
  <si>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</si>
  <si>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</si>
  <si>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</si>
  <si>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</si>
  <si>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</si>
  <si>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</si>
  <si>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</si>
  <si>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</si>
  <si>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</si>
  <si>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</si>
  <si>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</si>
  <si>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</si>
  <si>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</si>
  <si>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</si>
  <si>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</si>
  <si>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</si>
  <si>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</si>
  <si>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</si>
  <si>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</si>
  <si>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</si>
  <si>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</si>
  <si>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</si>
  <si>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</si>
  <si>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</si>
  <si>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</si>
  <si>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</si>
  <si>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</si>
  <si>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</si>
  <si>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</si>
  <si>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</si>
  <si>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</si>
  <si>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</si>
  <si>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</si>
  <si>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</si>
  <si>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</si>
  <si>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</si>
  <si>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</si>
  <si>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</si>
  <si>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</si>
  <si>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</si>
  <si>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</si>
  <si>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</si>
  <si>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</si>
  <si>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</si>
  <si>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</si>
  <si>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</si>
  <si>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</si>
  <si>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</si>
  <si>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</si>
  <si>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</si>
  <si>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</si>
  <si>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</si>
  <si>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</si>
  <si>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</si>
  <si>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</si>
  <si>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</si>
  <si>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</si>
  <si>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</si>
  <si>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</si>
  <si>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</si>
  <si>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</si>
  <si>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</si>
  <si>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</si>
  <si>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</si>
  <si>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</si>
  <si>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</si>
  <si>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</si>
  <si>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</si>
  <si>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</si>
  <si>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</si>
  <si>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</si>
  <si>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</si>
  <si>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</si>
  <si>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</si>
  <si>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</si>
  <si>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</si>
  <si>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</si>
  <si>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</si>
  <si>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</si>
  <si>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</si>
  <si>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Riskfree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</si>
  <si>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#Likaviktad 2019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</si>
  <si>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</si>
  <si>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</si>
  <si>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</si>
  <si>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</si>
  <si>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</si>
  <si>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</si>
  <si>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</si>
  <si>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</si>
  <si>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</si>
  <si>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</si>
  <si>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</si>
  <si>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</si>
  <si>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</si>
  <si>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</si>
  <si>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</si>
  <si>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</si>
  <si>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</si>
  <si>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</si>
  <si>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</si>
  <si>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</si>
  <si>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</si>
  <si>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</si>
  <si>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</si>
  <si>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</si>
  <si>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</si>
  <si>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</si>
  <si>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 xml:space="preserve">Portfolio returns 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</si>
  <si>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#Viktad 2021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</si>
  <si>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</si>
  <si>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</si>
  <si>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</si>
  <si>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</si>
  <si>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</si>
  <si>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</si>
  <si>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</si>
  <si>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</si>
  <si>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</si>
  <si>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</si>
  <si>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</si>
  <si>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</si>
  <si>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</si>
  <si>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</si>
  <si>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</si>
  <si>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</si>
  <si>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</si>
  <si>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</si>
  <si>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</si>
  <si>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</si>
  <si>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</si>
  <si>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</si>
  <si>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</si>
  <si>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</si>
  <si>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</si>
  <si>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</si>
  <si>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</si>
  <si>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</si>
  <si>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</si>
  <si>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</si>
  <si>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</si>
  <si>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</si>
  <si>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</si>
  <si>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</si>
  <si>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</si>
  <si>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</si>
  <si>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</si>
  <si>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</si>
  <si>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</si>
  <si>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</si>
  <si>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</si>
  <si>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</si>
  <si>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</si>
  <si>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</si>
  <si>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</si>
  <si>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</si>
  <si>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</si>
  <si>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</si>
  <si>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</si>
  <si>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</si>
  <si>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</si>
  <si>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</si>
  <si>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</si>
  <si>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</si>
  <si>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</si>
  <si>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</si>
  <si>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</si>
  <si>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</si>
  <si>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</si>
  <si>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</si>
  <si>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</si>
  <si>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</si>
  <si>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</si>
  <si>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</si>
  <si>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</si>
  <si>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</si>
  <si>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</si>
  <si>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</si>
  <si>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</si>
  <si>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</si>
  <si>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"FEX"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</si>
  <si>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</si>
  <si>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</si>
  <si>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</si>
  <si>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</si>
  <si>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</si>
  <si>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</si>
  <si>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</si>
  <si>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</si>
  <si>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</si>
  <si>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</si>
  <si>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</si>
  <si>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</si>
  <si>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</si>
  <si>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</si>
  <si>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</si>
  <si>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</si>
  <si>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</si>
  <si>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</si>
  <si>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</si>
  <si>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</si>
  <si>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</si>
  <si>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</si>
  <si>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</si>
  <si>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</si>
  <si>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</si>
  <si>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</si>
  <si>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</si>
  <si>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</si>
  <si>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</si>
  <si>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</si>
  <si>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</si>
  <si>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</si>
  <si>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 xml:space="preserve">Portfolioreturns </t>
  </si>
  <si>
    <t>Drawdowns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</si>
  <si>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#Likaviktad 2021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</si>
  <si>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</si>
  <si>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</si>
  <si>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</si>
  <si>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</si>
  <si>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</si>
  <si>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</si>
  <si>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</si>
  <si>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</si>
  <si>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</si>
  <si>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</si>
  <si>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</si>
  <si>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</si>
  <si>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</si>
  <si>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</si>
  <si>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</si>
  <si>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</si>
  <si>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</si>
  <si>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</si>
  <si>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</si>
  <si>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</si>
  <si>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</si>
  <si>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</si>
  <si>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</si>
  <si>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</si>
  <si>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</si>
  <si>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</si>
  <si>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#Viktad 20222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</si>
  <si>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</si>
  <si>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</si>
  <si>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</si>
  <si>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</si>
  <si>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</si>
  <si>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</si>
  <si>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</si>
  <si>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</si>
  <si>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</si>
  <si>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</si>
  <si>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</si>
  <si>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</si>
  <si>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</si>
  <si>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</si>
  <si>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</si>
  <si>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</si>
  <si>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</si>
  <si>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</si>
  <si>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</si>
  <si>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</si>
  <si>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</si>
  <si>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</si>
  <si>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</si>
  <si>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</si>
  <si>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</si>
  <si>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</si>
  <si>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</si>
  <si>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</si>
  <si>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</si>
  <si>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</si>
  <si>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</si>
  <si>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</si>
  <si>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</si>
  <si>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</si>
  <si>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</si>
  <si>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</si>
  <si>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</si>
  <si>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</si>
  <si>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</si>
  <si>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</si>
  <si>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</si>
  <si>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</si>
  <si>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</si>
  <si>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</si>
  <si>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</si>
  <si>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</si>
  <si>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</si>
  <si>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</si>
  <si>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</si>
  <si>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</si>
  <si>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</si>
  <si>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</si>
  <si>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</si>
  <si>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</si>
  <si>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</si>
  <si>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</si>
  <si>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</si>
  <si>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</si>
  <si>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</si>
  <si>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</si>
  <si>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</si>
  <si>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</si>
  <si>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</si>
  <si>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</si>
  <si>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</si>
  <si>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</si>
  <si>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</si>
  <si>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</si>
  <si>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</si>
  <si>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</si>
  <si>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</si>
  <si>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</si>
  <si>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</si>
  <si>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</si>
  <si>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</si>
  <si>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</si>
  <si>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</si>
  <si>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</si>
  <si>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</si>
  <si>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</si>
  <si>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</si>
  <si>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</si>
  <si>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</si>
  <si>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</si>
  <si>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</si>
  <si>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</si>
  <si>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</si>
  <si>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</si>
  <si>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</si>
  <si>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</si>
  <si>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</si>
  <si>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</si>
  <si>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</si>
  <si>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</si>
  <si>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</si>
  <si>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</si>
  <si>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</si>
  <si>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</si>
  <si>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</si>
  <si>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</si>
  <si>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</si>
  <si>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</si>
  <si>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</si>
  <si>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</si>
  <si>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</si>
  <si>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</si>
  <si>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</si>
  <si>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</si>
  <si>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</si>
  <si>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</si>
  <si>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</si>
  <si>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</si>
  <si>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</si>
  <si>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</si>
  <si>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</si>
  <si>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</si>
  <si>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</si>
  <si>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</si>
  <si>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</si>
  <si>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#Likaviktad 2022</t>
    </r>
  </si>
  <si>
    <t># Likviktad 2022-01 (från 2021-12)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</si>
  <si>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</si>
  <si>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</si>
  <si>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2022-02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</si>
  <si>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</si>
  <si>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</si>
  <si>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</si>
  <si>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2022-03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</si>
  <si>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</si>
  <si>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2022-04</t>
  </si>
  <si>
    <t># Likviktad 2022-05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</si>
  <si>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</si>
  <si>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</si>
  <si>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</si>
  <si>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2022-06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</si>
  <si>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</si>
  <si>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</si>
  <si>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</si>
  <si>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2022-07 (från 2022-06)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</si>
  <si>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</si>
  <si>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</si>
  <si>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</si>
  <si>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2022-08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</si>
  <si>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</si>
  <si>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</si>
  <si>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</si>
  <si>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2022-09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</si>
  <si>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</si>
  <si>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</si>
  <si>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</si>
  <si>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</si>
  <si>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2022-10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</si>
  <si>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</si>
  <si>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</si>
  <si>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2022-11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</si>
  <si>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</si>
  <si>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</si>
  <si>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</si>
  <si>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</si>
  <si>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</si>
  <si>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</si>
  <si>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</si>
  <si>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2022-12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</si>
  <si>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</si>
  <si>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</si>
  <si>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</si>
  <si>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</si>
  <si>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</si>
  <si>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#Viktad 2023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</si>
  <si>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</si>
  <si>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</si>
  <si>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</si>
  <si>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</si>
  <si>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</si>
  <si>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</si>
  <si>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</si>
  <si>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</si>
  <si>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</si>
  <si>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</si>
  <si>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</si>
  <si>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</si>
  <si>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</si>
  <si>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</si>
  <si>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</si>
  <si>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</si>
  <si>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</si>
  <si>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</si>
  <si>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</si>
  <si>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</si>
  <si>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</si>
  <si>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</si>
  <si>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</si>
  <si>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</si>
  <si>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</si>
  <si>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</si>
  <si>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</si>
  <si>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</si>
  <si>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</si>
  <si>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</si>
  <si>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</si>
  <si>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</si>
  <si>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</si>
  <si>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</si>
  <si>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</si>
  <si>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</si>
  <si>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</si>
  <si>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</si>
  <si>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</si>
  <si>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</si>
  <si>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</si>
  <si>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</si>
  <si>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</si>
  <si>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</si>
  <si>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</si>
  <si>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</si>
  <si>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</si>
  <si>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</si>
  <si>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</si>
  <si>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</si>
  <si>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</si>
  <si>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</si>
  <si>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</si>
  <si>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</si>
  <si>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</si>
  <si>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</si>
  <si>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</si>
  <si>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</si>
  <si>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</si>
  <si>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</si>
  <si>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</si>
  <si>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</si>
  <si>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</si>
  <si>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</si>
  <si>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</si>
  <si>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</si>
  <si>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</si>
  <si>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</si>
  <si>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"FEX"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</si>
  <si>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</si>
  <si>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</si>
  <si>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</si>
  <si>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</si>
  <si>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</si>
  <si>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</si>
  <si>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</si>
  <si>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</si>
  <si>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</si>
  <si>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</si>
  <si>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</si>
  <si>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</si>
  <si>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</si>
  <si>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</si>
  <si>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</si>
  <si>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</si>
  <si>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</si>
  <si>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</si>
  <si>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"FEX"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</si>
  <si>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</si>
  <si>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</si>
  <si>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</si>
  <si>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</si>
  <si>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</si>
  <si>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</si>
  <si>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</si>
  <si>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</si>
  <si>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</si>
  <si>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</si>
  <si>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</si>
  <si>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</si>
  <si>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</si>
  <si>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</si>
  <si>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</si>
  <si>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</si>
  <si>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</si>
  <si>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</si>
  <si>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</si>
  <si>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</si>
  <si>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</si>
  <si>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</si>
  <si>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</si>
  <si>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</si>
  <si>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</si>
  <si>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</si>
  <si>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</si>
  <si>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</si>
  <si>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</si>
  <si>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</si>
  <si>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</si>
  <si>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</si>
  <si>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#Likaviktad 2023</t>
    </r>
  </si>
  <si>
    <t># Likviktad 2023-01 (från 2022-12)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</si>
  <si>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</si>
  <si>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</si>
  <si>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</si>
  <si>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2023-02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</si>
  <si>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</si>
  <si>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</si>
  <si>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</si>
  <si>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2023-03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</si>
  <si>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</si>
  <si>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</si>
  <si>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2023-04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</si>
  <si>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</si>
  <si>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</si>
  <si>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</si>
  <si>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2023-05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</si>
  <si>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</si>
  <si>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</si>
  <si>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</si>
  <si>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</si>
  <si>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2023-06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</si>
  <si>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</si>
  <si>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</si>
  <si>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</si>
  <si>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2023-07 (från 2023-06)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</si>
  <si>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</si>
  <si>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2023-08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</si>
  <si>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</si>
  <si>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</si>
  <si>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</si>
  <si>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</si>
  <si>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</si>
  <si>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2023-09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</si>
  <si>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</si>
  <si>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</si>
  <si>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</si>
  <si>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</si>
  <si>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2023-10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</si>
  <si>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</si>
  <si>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</si>
  <si>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</si>
  <si>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2023-11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</si>
  <si>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</si>
  <si>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</si>
  <si>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</si>
  <si>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2023-12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</si>
  <si>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</si>
  <si>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#Viktad 2024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</si>
  <si>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</si>
  <si>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</si>
  <si>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</si>
  <si>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</si>
  <si>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</si>
  <si>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</si>
  <si>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</si>
  <si>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</si>
  <si>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</si>
  <si>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</si>
  <si>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</si>
  <si>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</si>
  <si>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</si>
  <si>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</si>
  <si>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</si>
  <si>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</si>
  <si>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</si>
  <si>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</si>
  <si>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</si>
  <si>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</si>
  <si>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</si>
  <si>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</si>
  <si>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</si>
  <si>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</si>
  <si>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</si>
  <si>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</si>
  <si>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</si>
  <si>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</si>
  <si>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</si>
  <si>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</si>
  <si>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</si>
  <si>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</si>
  <si>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</si>
  <si>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</si>
  <si>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</si>
  <si>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</si>
  <si>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</si>
  <si>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</si>
  <si>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</si>
  <si>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</si>
  <si>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</si>
  <si>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</si>
  <si>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</si>
  <si>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</si>
  <si>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</si>
  <si>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</si>
  <si>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</si>
  <si>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</si>
  <si>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</si>
  <si>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</si>
  <si>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</si>
  <si>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</si>
  <si>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</si>
  <si>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</si>
  <si>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</si>
  <si>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</si>
  <si>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</si>
  <si>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</si>
  <si>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</si>
  <si>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</si>
  <si>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</si>
  <si>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</si>
  <si>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</si>
  <si>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</si>
  <si>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</si>
  <si>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</si>
  <si>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</si>
  <si>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</si>
  <si>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</si>
  <si>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</si>
  <si>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</si>
  <si>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</si>
  <si>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</si>
  <si>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</si>
  <si>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</si>
  <si>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</si>
  <si>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</si>
  <si>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</si>
  <si>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</si>
  <si>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</si>
  <si>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</si>
  <si>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</si>
  <si>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</si>
  <si>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</si>
  <si>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</si>
  <si>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</si>
  <si>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</si>
  <si>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</si>
  <si>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</si>
  <si>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</si>
  <si>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</si>
  <si>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</si>
  <si>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</si>
  <si>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</si>
  <si>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</si>
  <si>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</si>
  <si>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</si>
  <si>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</si>
  <si>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</si>
  <si>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</si>
  <si>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</si>
  <si>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</si>
  <si>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</si>
  <si>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</si>
  <si>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</si>
  <si>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</si>
  <si>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</si>
  <si>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</si>
  <si>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</si>
  <si>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</si>
  <si>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</si>
  <si>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</si>
  <si>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</si>
  <si>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</si>
  <si>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</si>
  <si>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</si>
  <si>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</si>
  <si>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</si>
  <si>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"FEX"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</si>
  <si>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</si>
  <si>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#Likaviktad 2024</t>
    </r>
  </si>
  <si>
    <t># Likviktad 2024-01 (från 2023-12) — KORRIGERAD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</si>
  <si>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</si>
  <si>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</si>
  <si>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2024-02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</si>
  <si>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</si>
  <si>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</si>
  <si>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</si>
  <si>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</si>
  <si>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</si>
  <si>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2024-03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</si>
  <si>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</si>
  <si>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2024-04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</si>
  <si>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</si>
  <si>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</si>
  <si>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</si>
  <si>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</si>
  <si>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2024-05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</si>
  <si>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</si>
  <si>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</si>
  <si>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2024-06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</si>
  <si>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</si>
  <si>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</si>
  <si>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2024-07 (från 2024-06) — KORRIGERAD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</si>
  <si>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</si>
  <si>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</si>
  <si>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2024-08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</si>
  <si>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</si>
  <si>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</si>
  <si>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</si>
  <si>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</si>
  <si>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2024-09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</si>
  <si>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</si>
  <si>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</si>
  <si>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2024-10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</si>
  <si>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</si>
  <si>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</si>
  <si>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Likviktad 2024-11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</si>
  <si>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</si>
  <si>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</si>
  <si>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</si>
  <si>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</si>
  <si>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Likviktad 2024-12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</si>
  <si>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</si>
  <si>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Draqdown</t>
  </si>
  <si>
    <t>Adaptive</t>
  </si>
  <si>
    <t>Equal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</si>
  <si>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</si>
  <si>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</si>
  <si>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 xml:space="preserve">#Viktad 2018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</si>
  <si>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</si>
  <si>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</si>
  <si>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</si>
  <si>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</si>
  <si>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</si>
  <si>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</si>
  <si>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</si>
  <si>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</si>
  <si>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</si>
  <si>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</si>
  <si>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</si>
  <si>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</si>
  <si>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</si>
  <si>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</si>
  <si>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</si>
  <si>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</si>
  <si>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</si>
  <si>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</si>
  <si>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</si>
  <si>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</si>
  <si>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</si>
  <si>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</si>
  <si>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</si>
  <si>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</si>
  <si>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</si>
  <si>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</si>
  <si>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</si>
  <si>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</si>
  <si>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</si>
  <si>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</si>
  <si>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</si>
  <si>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</si>
  <si>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</si>
  <si>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</si>
  <si>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</si>
  <si>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</si>
  <si>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</si>
  <si>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</si>
  <si>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</si>
  <si>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</si>
  <si>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</si>
  <si>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</si>
  <si>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</si>
  <si>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</si>
  <si>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</si>
  <si>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</si>
  <si>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</si>
  <si>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</si>
  <si>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</si>
  <si>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</si>
  <si>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</si>
  <si>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</si>
  <si>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</si>
  <si>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</si>
  <si>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</si>
  <si>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</si>
  <si>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</si>
  <si>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</si>
  <si>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</si>
  <si>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</si>
  <si>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</si>
  <si>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</si>
  <si>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</si>
  <si>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</si>
  <si>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</si>
  <si>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"FEX"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</si>
  <si>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</si>
  <si>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</si>
  <si>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</si>
  <si>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</si>
  <si>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</si>
  <si>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</si>
  <si>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</si>
  <si>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</si>
  <si>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</si>
  <si>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</si>
  <si>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</si>
  <si>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</si>
  <si>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</si>
  <si>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</si>
  <si>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</si>
  <si>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</si>
  <si>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</si>
  <si>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</si>
  <si>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</si>
  <si>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</si>
  <si>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</si>
  <si>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</si>
  <si>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</si>
  <si>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</si>
  <si>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</si>
  <si>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</si>
  <si>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</si>
  <si>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</si>
  <si>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</si>
  <si>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</si>
  <si>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</si>
  <si>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</si>
  <si>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</si>
  <si>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</si>
  <si>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</si>
  <si>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</si>
  <si>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</si>
  <si>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</si>
  <si>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</si>
  <si>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</si>
  <si>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</si>
  <si>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</si>
  <si>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</si>
  <si>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</si>
  <si>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</si>
  <si>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</si>
  <si>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</si>
  <si>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</si>
  <si>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</si>
  <si>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</si>
  <si>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</si>
  <si>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</si>
  <si>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</si>
  <si>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</si>
  <si>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]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</si>
  <si>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</si>
  <si>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</si>
  <si>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</si>
  <si>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</si>
  <si>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</si>
  <si>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</si>
  <si>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</si>
  <si>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</si>
  <si>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</si>
  <si>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</si>
  <si>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</si>
  <si>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</si>
  <si>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</si>
  <si>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</si>
  <si>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</si>
  <si>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</si>
  <si>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</si>
  <si>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</si>
  <si>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</si>
  <si>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</si>
  <si>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</si>
  <si>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</si>
  <si>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</si>
  <si>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</si>
  <si>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</si>
  <si>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</si>
  <si>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</si>
  <si>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</si>
  <si>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</si>
  <si>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</si>
  <si>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</si>
  <si>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</si>
  <si>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</si>
  <si>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</si>
  <si>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</si>
  <si>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</si>
  <si>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</si>
  <si>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</si>
  <si>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</si>
  <si>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</si>
  <si>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</si>
  <si>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</si>
  <si>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</si>
  <si>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</si>
  <si>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</si>
  <si>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</si>
  <si>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</si>
  <si>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</si>
  <si>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</si>
  <si>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</si>
  <si>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</si>
  <si>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</si>
  <si>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</si>
  <si>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</si>
  <si>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</si>
  <si>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</si>
  <si>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</si>
  <si>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</si>
  <si>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</si>
  <si>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</si>
  <si>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</si>
  <si>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</si>
  <si>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</si>
  <si>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</si>
  <si>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</si>
  <si>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</si>
  <si>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</si>
  <si>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</si>
  <si>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</si>
  <si>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</si>
  <si>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</si>
  <si>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</si>
  <si>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</si>
  <si>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</si>
  <si>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</si>
  <si>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</si>
  <si>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</si>
  <si>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</si>
  <si>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</si>
  <si>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</si>
  <si>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</si>
  <si>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</si>
  <si>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</si>
  <si>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</si>
  <si>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</si>
  <si>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</si>
  <si>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</si>
  <si>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</si>
  <si>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</si>
  <si>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</si>
  <si>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</si>
  <si>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</si>
  <si>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</si>
  <si>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</si>
  <si>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</si>
  <si>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</si>
  <si>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</si>
  <si>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</si>
  <si>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</si>
  <si>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</si>
  <si>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</si>
  <si>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</si>
  <si>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</si>
  <si>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</si>
  <si>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</si>
  <si>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</si>
  <si>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</si>
  <si>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</si>
  <si>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</si>
  <si>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</si>
  <si>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</si>
  <si>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</si>
  <si>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</si>
  <si>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</si>
  <si>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</si>
  <si>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</si>
  <si>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</si>
  <si>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</si>
  <si>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</si>
  <si>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</si>
  <si>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 xml:space="preserve">#Likaviktad 2019 </t>
    </r>
  </si>
  <si>
    <t xml:space="preserve"># Likviktad 2019-01 (från 2018-12)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</si>
  <si>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</si>
  <si>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Likviktad 2019-02 (från 2019-01)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</si>
  <si>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</si>
  <si>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</si>
  <si>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</si>
  <si>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</si>
  <si>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Likviktad 2019-03 (från 2019-02)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</si>
  <si>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</si>
  <si>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Likviktad 2019-04 (från 2019-03)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</si>
  <si>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</si>
  <si>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</si>
  <si>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</si>
  <si>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</si>
  <si>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</si>
  <si>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</si>
  <si>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</si>
  <si>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Likviktad 2019-05 (från 2019-04)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</si>
  <si>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</si>
  <si>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</si>
  <si>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</si>
  <si>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</si>
  <si>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</si>
  <si>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Likviktad 2019-06 (från 2019-05)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</si>
  <si>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</si>
  <si>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Likviktad 2019-07 (från 2019-06)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</si>
  <si>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</si>
  <si>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Likviktad 2019-08 (från 2019-07)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</si>
  <si>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</si>
  <si>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</si>
  <si>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</si>
  <si>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Likviktad 2019-09 (från 2019-08)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</si>
  <si>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</si>
  <si>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Likviktad 2019-10 (från 2019-09)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</si>
  <si>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</si>
  <si>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</si>
  <si>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</si>
  <si>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Likviktad 2019-11 (från 2019-10)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</si>
  <si>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</si>
  <si>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</si>
  <si>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</si>
  <si>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Likviktad 2019-12 (från 2019-11)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</si>
  <si>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</si>
  <si>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</si>
  <si>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</si>
  <si>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</si>
  <si>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</si>
  <si>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 xml:space="preserve">#ViktaD, 2020 </t>
    </r>
  </si>
  <si>
    <t xml:space="preserve"># 2020-01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</si>
  <si>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</si>
  <si>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</si>
  <si>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</si>
  <si>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</si>
  <si>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</si>
  <si>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</si>
  <si>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</si>
  <si>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</si>
  <si>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</si>
  <si>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</si>
  <si>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2020-02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</si>
  <si>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</si>
  <si>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"SPHD"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</si>
  <si>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</si>
  <si>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</si>
  <si>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</si>
  <si>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</si>
  <si>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</si>
  <si>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</si>
  <si>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</si>
  <si>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</si>
  <si>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2020-03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</si>
  <si>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</si>
  <si>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</si>
  <si>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</si>
  <si>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</si>
  <si>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</si>
  <si>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</si>
  <si>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</si>
  <si>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</si>
  <si>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</si>
  <si>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</si>
  <si>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2020-04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</si>
  <si>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</si>
  <si>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</si>
  <si>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</si>
  <si>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</si>
  <si>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</si>
  <si>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</si>
  <si>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</si>
  <si>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</si>
  <si>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</si>
  <si>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</si>
  <si>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2020-05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</si>
  <si>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</si>
  <si>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</si>
  <si>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</si>
  <si>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</si>
  <si>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</si>
  <si>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</si>
  <si>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</si>
  <si>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</si>
  <si>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</si>
  <si>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</si>
  <si>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2020-06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</si>
  <si>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</si>
  <si>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</si>
  <si>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</si>
  <si>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</si>
  <si>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</si>
  <si>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</si>
  <si>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</si>
  <si>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</si>
  <si>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</si>
  <si>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</si>
  <si>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2020-07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</si>
  <si>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</si>
  <si>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</si>
  <si>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</si>
  <si>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</si>
  <si>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</si>
  <si>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</si>
  <si>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</si>
  <si>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</si>
  <si>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</si>
  <si>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</si>
  <si>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</si>
  <si>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</si>
  <si>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</si>
  <si>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</si>
  <si>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</si>
  <si>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</si>
  <si>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</si>
  <si>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</si>
  <si>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</si>
  <si>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</si>
  <si>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2020-09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</si>
  <si>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</si>
  <si>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</si>
  <si>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</si>
  <si>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</si>
  <si>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</si>
  <si>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</si>
  <si>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</si>
  <si>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</si>
  <si>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</si>
  <si>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</si>
  <si>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2020-10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</si>
  <si>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</si>
  <si>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</si>
  <si>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</si>
  <si>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</si>
  <si>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</si>
  <si>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</si>
  <si>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</si>
  <si>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</si>
  <si>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</si>
  <si>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</si>
  <si>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2020-11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</si>
  <si>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</si>
  <si>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</si>
  <si>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</si>
  <si>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</si>
  <si>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</si>
  <si>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</si>
  <si>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</si>
  <si>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</si>
  <si>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</si>
  <si>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</si>
  <si>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2020-12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</si>
  <si>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</si>
  <si>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</si>
  <si>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</si>
  <si>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</si>
  <si>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</si>
  <si>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</si>
  <si>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</si>
  <si>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</si>
  <si>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</si>
  <si>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</si>
  <si>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 xml:space="preserve">#Likviktad 2020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</si>
  <si>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</si>
  <si>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</si>
  <si>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</si>
  <si>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</si>
  <si>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</si>
  <si>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</si>
  <si>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</si>
  <si>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</si>
  <si>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</si>
  <si>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2020-02 (tidigare 2020-01)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</si>
  <si>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</si>
  <si>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2020-03 (tidigare 2020-02)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</si>
  <si>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</si>
  <si>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</si>
  <si>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</si>
  <si>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</si>
  <si>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</si>
  <si>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2020-04 (från 2020-03)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</si>
  <si>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</si>
  <si>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2020-05 (från 2020-04)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</si>
  <si>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</si>
  <si>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2020-06 (från 2020-05) </t>
  </si>
  <si>
    <t xml:space="preserve"># 2020-07 (från 2020-06) </t>
  </si>
  <si>
    <t xml:space="preserve"># 2020-08 (från 2020-07)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</si>
  <si>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</si>
  <si>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2020-09 (från 2020-08)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</si>
  <si>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</si>
  <si>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</si>
  <si>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</si>
  <si>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2020-10 (från 2020-09)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</si>
  <si>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</si>
  <si>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2020-11 (från 2020-10)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</si>
  <si>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</si>
  <si>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</si>
  <si>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</si>
  <si>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</si>
  <si>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2020-12 (från 2020-11)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</si>
  <si>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</si>
  <si>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>portfolio_return</t>
  </si>
  <si>
    <t>=======================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</si>
  <si>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 xml:space="preserve">#Viktad 2017 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</si>
  <si>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 xml:space="preserve">#Viktad 2019 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</si>
  <si>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 xml:space="preserve">#Viktad 2021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</si>
  <si>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</si>
  <si>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</si>
  <si>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</si>
  <si>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</si>
  <si>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</si>
  <si>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</si>
  <si>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</si>
  <si>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</si>
  <si>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</si>
  <si>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</si>
  <si>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</si>
  <si>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</si>
  <si>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</si>
  <si>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</si>
  <si>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</si>
  <si>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</si>
  <si>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</si>
  <si>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</si>
  <si>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</si>
  <si>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</si>
  <si>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</si>
  <si>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</si>
  <si>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</si>
  <si>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</si>
  <si>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</si>
  <si>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</si>
  <si>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</si>
  <si>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</si>
  <si>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</si>
  <si>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</si>
  <si>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</si>
  <si>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</si>
  <si>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</si>
  <si>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</si>
  <si>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</si>
  <si>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</si>
  <si>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</si>
  <si>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</si>
  <si>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</si>
  <si>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</si>
  <si>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</si>
  <si>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</si>
  <si>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</si>
  <si>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</si>
  <si>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</si>
  <si>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</si>
  <si>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</si>
  <si>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</si>
  <si>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</si>
  <si>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</si>
  <si>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</si>
  <si>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</si>
  <si>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</si>
  <si>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</si>
  <si>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</si>
  <si>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</si>
  <si>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</si>
  <si>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</si>
  <si>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</si>
  <si>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</si>
  <si>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</si>
  <si>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</si>
  <si>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</si>
  <si>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</si>
  <si>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</si>
  <si>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</si>
  <si>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</si>
  <si>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</si>
  <si>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</si>
  <si>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</si>
  <si>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</si>
  <si>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</si>
  <si>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</si>
  <si>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</si>
  <si>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</si>
  <si>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</si>
  <si>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</si>
  <si>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</si>
  <si>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</si>
  <si>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"FEX"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</si>
  <si>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</si>
  <si>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</si>
  <si>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</si>
  <si>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</si>
  <si>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</si>
  <si>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</si>
  <si>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</si>
  <si>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</si>
  <si>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</si>
  <si>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</si>
  <si>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</si>
  <si>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</si>
  <si>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</si>
  <si>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</si>
  <si>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</si>
  <si>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</si>
  <si>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</si>
  <si>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</si>
  <si>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</si>
  <si>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</si>
  <si>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</si>
  <si>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</si>
  <si>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</si>
  <si>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</si>
  <si>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</si>
  <si>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</si>
  <si>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</si>
  <si>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</si>
  <si>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</si>
  <si>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</si>
  <si>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</si>
  <si>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</si>
  <si>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</si>
  <si>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</si>
  <si>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</si>
  <si>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</si>
  <si>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</si>
  <si>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</si>
  <si>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</si>
  <si>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</si>
  <si>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 xml:space="preserve">#Likaviktad 2021 </t>
    </r>
  </si>
  <si>
    <t xml:space="preserve"># Likviktad 2021-01 (från 2020-12) [KORRIGERAD]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</si>
  <si>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</si>
  <si>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</si>
  <si>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</si>
  <si>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</si>
  <si>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Likviktad 2021-02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</si>
  <si>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</si>
  <si>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</si>
  <si>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</si>
  <si>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</si>
  <si>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Likviktad 2021-03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</si>
  <si>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</si>
  <si>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</si>
  <si>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Likviktad 2021-04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</si>
  <si>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</si>
  <si>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Likviktad 2021-05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</si>
  <si>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</si>
  <si>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</si>
  <si>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</si>
  <si>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Likviktad 2021-06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</si>
  <si>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</si>
  <si>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Likviktad 2021-07 (från 2021-06) [KORRIGERAD]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</si>
  <si>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</si>
  <si>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</si>
  <si>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</si>
  <si>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</si>
  <si>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Likviktad 2021-08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</si>
  <si>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</si>
  <si>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</si>
  <si>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</si>
  <si>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Likviktad 2021-09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</si>
  <si>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</si>
  <si>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Likviktad 2021-10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</si>
  <si>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</si>
  <si>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</si>
  <si>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</si>
  <si>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t xml:space="preserve"># Likviktad 2021-11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</si>
  <si>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</si>
  <si>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</si>
  <si>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</si>
  <si>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</si>
  <si>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 xml:space="preserve"># Likviktad 2021-12 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</si>
  <si>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</si>
  <si>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</si>
  <si>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</si>
  <si>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</si>
  <si>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</si>
  <si>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</si>
  <si>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</si>
  <si>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</si>
  <si>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</si>
  <si>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</si>
  <si>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</si>
  <si>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</si>
  <si>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</si>
  <si>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</si>
  <si>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</si>
  <si>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</si>
  <si>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</si>
  <si>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</si>
  <si>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</si>
  <si>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</si>
  <si>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</si>
  <si>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</si>
  <si>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</si>
  <si>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</si>
  <si>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</si>
  <si>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</si>
  <si>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</si>
  <si>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</si>
  <si>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</si>
  <si>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</si>
  <si>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</si>
  <si>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</si>
  <si>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</si>
  <si>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</si>
  <si>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</si>
  <si>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</si>
  <si>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</si>
  <si>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</si>
  <si>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</si>
  <si>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</si>
  <si>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</si>
  <si>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</si>
  <si>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</si>
  <si>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</si>
  <si>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</si>
  <si>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</si>
  <si>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</si>
  <si>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</si>
  <si>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</si>
  <si>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</si>
  <si>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</si>
  <si>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</si>
  <si>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</si>
  <si>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</si>
  <si>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</si>
  <si>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</si>
  <si>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</si>
  <si>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</si>
  <si>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</si>
  <si>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</si>
  <si>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</si>
  <si>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</si>
  <si>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</si>
  <si>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</si>
  <si>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</si>
  <si>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</si>
  <si>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</si>
  <si>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</si>
  <si>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</si>
  <si>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</si>
  <si>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</si>
  <si>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</si>
  <si>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</si>
  <si>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</si>
  <si>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</si>
  <si>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</si>
  <si>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</si>
  <si>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</si>
  <si>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</si>
  <si>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</si>
  <si>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</si>
  <si>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</si>
  <si>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</si>
  <si>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</si>
  <si>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</si>
  <si>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</si>
  <si>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</si>
  <si>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</si>
  <si>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</si>
  <si>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</si>
  <si>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</si>
  <si>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</si>
  <si>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</si>
  <si>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</si>
  <si>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</si>
  <si>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</si>
  <si>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</si>
  <si>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</si>
  <si>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</si>
  <si>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</si>
  <si>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</si>
  <si>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</si>
  <si>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</si>
  <si>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</si>
  <si>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</si>
  <si>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</si>
  <si>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</si>
  <si>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</si>
  <si>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</si>
  <si>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</si>
  <si>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</si>
  <si>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</si>
  <si>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</si>
  <si>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</si>
  <si>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</si>
  <si>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</si>
  <si>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</si>
  <si>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</si>
  <si>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</si>
  <si>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</si>
  <si>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</si>
  <si>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</si>
  <si>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</si>
  <si>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</si>
  <si>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</si>
  <si>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</si>
  <si>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</si>
  <si>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</si>
  <si>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</si>
  <si>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</si>
  <si>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</si>
  <si>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</si>
  <si>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</si>
  <si>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</si>
  <si>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</si>
  <si>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</si>
  <si>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</si>
  <si>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</si>
  <si>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</si>
  <si>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</si>
  <si>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</si>
  <si>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</si>
  <si>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</si>
  <si>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</si>
  <si>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</si>
  <si>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</si>
  <si>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</si>
  <si>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</si>
  <si>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</si>
  <si>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"VOO"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</si>
  <si>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</si>
  <si>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</si>
  <si>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"FEX"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</si>
  <si>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</si>
  <si>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</si>
  <si>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</si>
  <si>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</si>
  <si>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</si>
  <si>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</si>
  <si>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</si>
  <si>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</si>
  <si>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</si>
  <si>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</si>
  <si>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</si>
  <si>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</si>
  <si>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</si>
  <si>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</si>
  <si>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</si>
  <si>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</si>
  <si>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</si>
  <si>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</si>
  <si>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</si>
  <si>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</si>
  <si>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</si>
  <si>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</si>
  <si>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</si>
  <si>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</si>
  <si>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</si>
  <si>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</si>
  <si>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</si>
  <si>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</si>
  <si>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</si>
  <si>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</si>
  <si>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</si>
  <si>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</si>
  <si>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</si>
  <si>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</si>
  <si>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</si>
  <si>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</si>
  <si>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</si>
  <si>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</si>
  <si>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</si>
  <si>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</si>
  <si>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</si>
  <si>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</si>
  <si>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</si>
  <si>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</si>
  <si>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</si>
  <si>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</si>
  <si>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</si>
  <si>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</si>
  <si>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</si>
  <si>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</si>
  <si>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</si>
  <si>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</si>
  <si>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</si>
  <si>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</si>
  <si>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</si>
  <si>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</si>
  <si>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</si>
  <si>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</si>
  <si>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</si>
  <si>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</si>
  <si>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</si>
  <si>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</si>
  <si>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</si>
  <si>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</si>
  <si>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</si>
  <si>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</si>
  <si>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</si>
  <si>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</si>
  <si>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</si>
  <si>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</si>
  <si>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</si>
  <si>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</si>
  <si>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</si>
  <si>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</si>
  <si>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</si>
  <si>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</si>
  <si>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</si>
  <si>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</si>
  <si>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</si>
  <si>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</si>
  <si>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</si>
  <si>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</si>
  <si>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"FEX"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</si>
  <si>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</si>
  <si>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</si>
  <si>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</si>
  <si>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</si>
  <si>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</si>
  <si>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</si>
  <si>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</si>
  <si>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</si>
  <si>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</si>
  <si>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</si>
  <si>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</si>
  <si>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</si>
  <si>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</si>
  <si>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</si>
  <si>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</si>
  <si>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</si>
  <si>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</si>
  <si>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</si>
  <si>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</si>
  <si>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</si>
  <si>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</si>
  <si>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</si>
  <si>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</si>
  <si>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</si>
  <si>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</si>
  <si>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</si>
  <si>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</si>
  <si>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</si>
  <si>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</si>
  <si>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</si>
  <si>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</si>
  <si>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</si>
  <si>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</si>
  <si>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</si>
  <si>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</si>
  <si>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</si>
  <si>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</si>
  <si>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</si>
  <si>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</si>
  <si>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</si>
  <si>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</si>
  <si>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</si>
  <si>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</si>
  <si>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</si>
  <si>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</si>
  <si>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</si>
  <si>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</si>
  <si>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</si>
  <si>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</si>
  <si>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</si>
  <si>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</si>
  <si>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</si>
  <si>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</si>
  <si>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</si>
  <si>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</si>
  <si>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</si>
  <si>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</si>
  <si>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</si>
  <si>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</si>
  <si>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</si>
  <si>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</si>
  <si>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</si>
  <si>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</si>
  <si>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</si>
  <si>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</si>
  <si>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</si>
  <si>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</si>
  <si>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</si>
  <si>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</si>
  <si>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</si>
  <si>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</si>
  <si>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</si>
  <si>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</si>
  <si>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</si>
  <si>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</si>
  <si>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</si>
  <si>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</si>
  <si>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</si>
  <si>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</si>
  <si>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</si>
  <si>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</si>
  <si>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</si>
  <si>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</si>
  <si>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</si>
  <si>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</si>
  <si>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</si>
  <si>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</si>
  <si>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</si>
  <si>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</si>
  <si>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</si>
  <si>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</si>
  <si>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</si>
  <si>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</si>
  <si>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</si>
  <si>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</si>
  <si>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</si>
  <si>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</si>
  <si>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</si>
  <si>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</si>
  <si>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</si>
  <si>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</si>
  <si>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</si>
  <si>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</si>
  <si>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</si>
  <si>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</si>
  <si>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</si>
  <si>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</si>
  <si>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</si>
  <si>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</si>
  <si>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</si>
  <si>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</si>
  <si>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</si>
  <si>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</si>
  <si>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</si>
  <si>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</si>
  <si>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</si>
  <si>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</si>
  <si>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</si>
  <si>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</si>
  <si>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</si>
  <si>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</si>
  <si>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</si>
  <si>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</si>
  <si>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</si>
  <si>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"FEX"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</si>
  <si>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Viktad 2025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</si>
  <si>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</si>
  <si>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</si>
  <si>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</si>
  <si>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</si>
  <si>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</si>
  <si>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</si>
  <si>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</si>
  <si>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</si>
  <si>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</si>
  <si>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</si>
  <si>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"FEX"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</si>
  <si>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</si>
  <si>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</si>
  <si>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</si>
  <si>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</si>
  <si>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</si>
  <si>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</si>
  <si>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</si>
  <si>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</si>
  <si>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</si>
  <si>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</si>
  <si>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</si>
  <si>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</si>
  <si>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</si>
  <si>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</si>
  <si>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</si>
  <si>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</si>
  <si>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"VOO"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</si>
  <si>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</si>
  <si>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</si>
  <si>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</si>
  <si>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</si>
  <si>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</si>
  <si>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</si>
  <si>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</si>
  <si>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</si>
  <si>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</si>
  <si>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</si>
  <si>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</si>
  <si>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</si>
  <si>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</si>
  <si>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</si>
  <si>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</si>
  <si>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</si>
  <si>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</si>
  <si>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</si>
  <si>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</si>
  <si>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</si>
  <si>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</si>
  <si>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</si>
  <si>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</si>
  <si>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"FEX"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</si>
  <si>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</si>
  <si>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</si>
  <si>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</si>
  <si>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</si>
  <si>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</si>
  <si>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</si>
  <si>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 xml:space="preserve"># Viktad 2017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</si>
  <si>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</si>
  <si>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</si>
  <si>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</si>
  <si>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</si>
  <si>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</si>
  <si>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</si>
  <si>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</si>
  <si>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</si>
  <si>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</si>
  <si>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</si>
  <si>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</si>
  <si>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</si>
  <si>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 xml:space="preserve"># Likaviktad 2017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</si>
  <si>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</si>
  <si>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Viktad 2018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</si>
  <si>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</si>
  <si>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</si>
  <si>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</si>
  <si>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</si>
  <si>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</si>
  <si>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</si>
  <si>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</si>
  <si>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</si>
  <si>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Likaviktad</t>
    </r>
  </si>
  <si>
    <t># Från 2017-12-29 → 2018-01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</si>
  <si>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</si>
  <si>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Från 2018-01-30 → 2018-02</t>
  </si>
  <si>
    <t># Från 2018-02-27 → 2018-03</t>
  </si>
  <si>
    <t># Från 2018-03-29 → 2018-04</t>
  </si>
  <si>
    <t># Från 2018-04-27 → 2018-05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</si>
  <si>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</si>
  <si>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Från 2018-05-30 → 2018-06</t>
  </si>
  <si>
    <t># Från 2018-06-29 → 2018-07</t>
  </si>
  <si>
    <t># Från 2018-07-30 → 2018-08</t>
  </si>
  <si>
    <t># Från 2018-08-30 → 2018-09</t>
  </si>
  <si>
    <t># Från 2018-09-28 → 2018-10</t>
  </si>
  <si>
    <t># Från 2018-10-30 → 2018-11</t>
  </si>
  <si>
    <t># Från 2018-12-28 → 2019-01</t>
  </si>
  <si>
    <t># Från 2019-01-30 → 2019-02</t>
  </si>
  <si>
    <t># Från 2019-02-27 → 2019-03</t>
  </si>
  <si>
    <t># Från 2019-03-29 → 2019-04</t>
  </si>
  <si>
    <t># Från 2019-04-29 → 2019-05</t>
  </si>
  <si>
    <t># Från 2019-05-30 → 2019-06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</si>
  <si>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</si>
  <si>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Från 2019-06-28 → 2019-07</t>
  </si>
  <si>
    <t># Från 2019-07-30 → 2019-08</t>
  </si>
  <si>
    <t># Från 2019-08-30 → 2019-09</t>
  </si>
  <si>
    <t># Från 2019-09-27 → 2019-10</t>
  </si>
  <si>
    <t># Från 2019-10-30 → 2019-11</t>
  </si>
  <si>
    <t># Från 2019-11-29 → 2019-12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</si>
  <si>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Viktad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</si>
  <si>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</si>
  <si>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</si>
  <si>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</si>
  <si>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"ibb"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</si>
  <si>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</si>
  <si>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</si>
  <si>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</si>
  <si>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</si>
  <si>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</si>
  <si>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</si>
  <si>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"inda"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</si>
  <si>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Viktad 2023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</si>
  <si>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</si>
  <si>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</si>
  <si>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</si>
  <si>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</si>
  <si>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</si>
  <si>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</si>
  <si>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</si>
  <si>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</si>
  <si>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2023-01</t>
  </si>
  <si>
    <t># 2023-02</t>
  </si>
  <si>
    <t># 2023-03</t>
  </si>
  <si>
    <t># 2023-04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</si>
  <si>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</si>
  <si>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2023-05</t>
  </si>
  <si>
    <t># 2023-06</t>
  </si>
  <si>
    <t># 2023-07</t>
  </si>
  <si>
    <t># 2023-08</t>
  </si>
  <si>
    <t># 2023-09</t>
  </si>
  <si>
    <t># 2023-10</t>
  </si>
  <si>
    <t># 2023-11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</si>
  <si>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Likaviktad 2023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</si>
  <si>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</si>
  <si>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</si>
  <si>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Viktad 2024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</si>
  <si>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</si>
  <si>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Likaviktad 2024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</si>
  <si>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</si>
  <si>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</si>
  <si>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</si>
  <si>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</si>
  <si>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</si>
  <si>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Likaviktad 2025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</si>
  <si>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Viktad 2020</t>
    </r>
  </si>
  <si>
    <t># 2019-12 → 2020-01</t>
  </si>
  <si>
    <t># 2020-01 → 2020-02</t>
  </si>
  <si>
    <t># 2020-02 → 2020-03 (crash)</t>
  </si>
  <si>
    <t># 2020-03 → 2020-04 (reversal)</t>
  </si>
  <si>
    <t># 2020-04 → 2020-05 (massive risk-on)</t>
  </si>
  <si>
    <t># 2020-05 → 2020-06</t>
  </si>
  <si>
    <t># 2020-06 → 2020-07 (risk-off again)</t>
  </si>
  <si>
    <t># 2020-07 → 2020-08</t>
  </si>
  <si>
    <t># 2020-08 → 2020-09</t>
  </si>
  <si>
    <t># 2020-09 → 2020-10</t>
  </si>
  <si>
    <t># 2020-10 → 2020-11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</si>
  <si>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Likaviktad 2020</t>
    </r>
  </si>
  <si>
    <t># 2020-02 → 2020-03</t>
  </si>
  <si>
    <t># 2020-03 → 2020-04</t>
  </si>
  <si>
    <t># 2020-04 → 2020-05</t>
  </si>
  <si>
    <t># 2020-06 → 2020-07</t>
  </si>
  <si>
    <t># 2020-12 → 2021-01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</si>
  <si>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</si>
  <si>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</si>
  <si>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</si>
  <si>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</si>
  <si>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</si>
  <si>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2021-01 → 2021-02</t>
  </si>
  <si>
    <t># 2021-02 → 2021-03</t>
  </si>
  <si>
    <t># 2021-03 → 2021-04</t>
  </si>
  <si>
    <t># 2021-04 → 2021-05</t>
  </si>
  <si>
    <t># 2021-05 → 2021-06</t>
  </si>
  <si>
    <t># 2021-06 → 2021-07</t>
  </si>
  <si>
    <t># 2021-07 → 2021-08</t>
  </si>
  <si>
    <t># 2021-08 → 2021-09</t>
  </si>
  <si>
    <t># 2021-09 → 2021-10</t>
  </si>
  <si>
    <t># 2021-10 → 2021-11</t>
  </si>
  <si>
    <t># 2021-11 → 2021-12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</si>
  <si>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Likaviktad 2021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</si>
  <si>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</si>
  <si>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</si>
  <si>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</si>
  <si>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</si>
  <si>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</si>
  <si>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</si>
  <si>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</si>
  <si>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</si>
  <si>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"IEUR"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</si>
  <si>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Viktad 2022</t>
    </r>
  </si>
  <si>
    <t># 2021-12 → 2022-01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</si>
  <si>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</si>
  <si>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2022-01 → 2022-02</t>
  </si>
  <si>
    <t># 2022-02 → 2022-03</t>
  </si>
  <si>
    <t># 2022-03 → 2022-04</t>
  </si>
  <si>
    <t># 2022-04 → 2022-05</t>
  </si>
  <si>
    <t># 2022-05 → 2022-06</t>
  </si>
  <si>
    <t># 2022-06 → 2022-07</t>
  </si>
  <si>
    <t># 2022-07 → 2022-08</t>
  </si>
  <si>
    <t># 2022-08 → 2022-09</t>
  </si>
  <si>
    <t># 2022-09 → 2022-10</t>
  </si>
  <si>
    <t># 2022-10 → 2022-11</t>
  </si>
  <si>
    <t># 2022-11 → 2022-12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</si>
  <si>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</si>
  <si>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Likaviktad 2022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</si>
  <si>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</si>
  <si>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</si>
  <si>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</si>
  <si>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0,2/10/40</t>
  </si>
  <si>
    <t># 2016-12 → 2017-01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</si>
  <si>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</si>
  <si>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</si>
  <si>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2017-01 → 2017-02</t>
  </si>
  <si>
    <t># 2017-02 → 2017-03</t>
  </si>
  <si>
    <t># 2017-03 → 2017-04</t>
  </si>
  <si>
    <t># 2017-04 → 2017-05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</si>
  <si>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</si>
  <si>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</si>
  <si>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"FEX"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</si>
  <si>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2017-05 → 2017-06</t>
  </si>
  <si>
    <t># 2017-06 → 2017-07</t>
  </si>
  <si>
    <t># 2017-07 → 2017-08</t>
  </si>
  <si>
    <t># 2017-08 → 2017-09</t>
  </si>
  <si>
    <t># 2017-09 → 2017-10</t>
  </si>
  <si>
    <t># 2017-10 → 2017-11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</si>
  <si>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</si>
  <si>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2017-11 → 2017-12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</si>
  <si>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Viktad 2017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</si>
  <si>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Likaviktad 2017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</si>
  <si>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viktad 2018</t>
    </r>
  </si>
  <si>
    <t># 2017-12 → 2018-01</t>
  </si>
  <si>
    <t># 2018-01 → 2018-02</t>
  </si>
  <si>
    <t># 2018-02 → 2018-03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</si>
  <si>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</si>
  <si>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</si>
  <si>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</si>
  <si>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2018-03 → 2018-04</t>
  </si>
  <si>
    <t># 2018-04 → 2018-05</t>
  </si>
  <si>
    <t># 2018-05 → 2018-06</t>
  </si>
  <si>
    <t># 2018-06 → 2018-07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</si>
  <si>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</si>
  <si>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</si>
  <si>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2018-07 → 2018-08</t>
  </si>
  <si>
    <t># 2018-08 → 2018-09</t>
  </si>
  <si>
    <t># 2018-09 → 2018-10</t>
  </si>
  <si>
    <t># 2018-10 → 2018-11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</si>
  <si>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</si>
  <si>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</si>
  <si>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</si>
  <si>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</si>
  <si>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</si>
  <si>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2018-11 → 2018-12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</si>
  <si>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</si>
  <si>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Likaviktad 2018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</si>
  <si>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</si>
  <si>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Viktad 2019</t>
    </r>
  </si>
  <si>
    <t># 2018-12 → 2019-01</t>
  </si>
  <si>
    <t># 2019-01 → 2019-02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</si>
  <si>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</si>
  <si>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2019-02 → 2019-03</t>
  </si>
  <si>
    <t># 2019-03 → 2019-04</t>
  </si>
  <si>
    <t># 2019-04 → 2019-05</t>
  </si>
  <si>
    <t># 2019-05 → 2019-06</t>
  </si>
  <si>
    <t># 2019-06 → 2019-07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</si>
  <si>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</si>
  <si>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</si>
  <si>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2019-07 → 2019-08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</si>
  <si>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</si>
  <si>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</si>
  <si>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2019-08 → 2019-09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</si>
  <si>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</si>
  <si>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</si>
  <si>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</si>
  <si>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2019-09 → 2019-10</t>
  </si>
  <si>
    <t># 2019-10 → 2019-11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</si>
  <si>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</si>
  <si>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</si>
  <si>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</si>
  <si>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2019-11 → 2019-12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</si>
  <si>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</si>
  <si>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Likaviktad 2019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</si>
  <si>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</si>
  <si>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</si>
  <si>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2020-03 → 2020-04 (crash → full risk-off)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</si>
  <si>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</si>
  <si>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2020-04 → 2020-05 (recovery)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</si>
  <si>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"EWZ"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</si>
  <si>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2020-06 → 2020-07 (risk-off igen)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</si>
  <si>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"ITOT"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</si>
  <si>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</si>
  <si>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</si>
  <si>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</si>
  <si>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</si>
  <si>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</si>
  <si>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</si>
  <si>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</si>
  <si>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2020-11 → 2020-12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</si>
  <si>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</si>
  <si>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 Viktad 2021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</si>
  <si>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"SCHP"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</si>
  <si>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</si>
  <si>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</si>
  <si>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2021-04 → 2021-05 (ALL long)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</si>
  <si>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</si>
  <si>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2021-07 → 2021-08 (ALL long)</t>
  </si>
  <si>
    <t># 2021-08 → 2021-09 (mixed strength)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</si>
  <si>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</si>
  <si>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</si>
  <si>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"ICLN"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</si>
  <si>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2021-09 → 2021-10 (ALL short)</t>
  </si>
  <si>
    <t># 2021-10 → 2021-11 (risk-on)</t>
  </si>
  <si>
    <t># 2021-11 → 2021-12 (risk-off)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</si>
  <si>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</si>
  <si>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</si>
  <si>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</si>
  <si>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från 2020-12-30 -&gt; 2021-01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</si>
  <si>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</si>
  <si>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från 2021-01-29 -&gt; 2021-02</t>
  </si>
  <si>
    <t># från 2021-02-26 -&gt; 2021-03</t>
  </si>
  <si>
    <t># från 2021-03-30 -&gt; 2021-04</t>
  </si>
  <si>
    <t># från 2021-04-29 -&gt; 2021-05</t>
  </si>
  <si>
    <t># från 2021-05-28 -&gt; 2021-06</t>
  </si>
  <si>
    <t># från 2021-06-29 -&gt; 2021-07</t>
  </si>
  <si>
    <t># från 2021-07-30 -&gt; 2021-08</t>
  </si>
  <si>
    <t># från 2021-08-30 -&gt; 2021-09</t>
  </si>
  <si>
    <t># från 2021-09-29 -&gt; 2021-10</t>
  </si>
  <si>
    <t># från 2021-10-29 -&gt; 2021-11</t>
  </si>
  <si>
    <t># från 2021-11-29 -&gt; 2021-12</t>
  </si>
  <si>
    <t># från 2021-12-30 -&gt; 2022-01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</si>
  <si>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</si>
  <si>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</si>
  <si>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</si>
  <si>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från 2022-01-28 -&gt; 2022-02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</si>
  <si>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</si>
  <si>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från 2022-02-25 -&gt; 2022-03</t>
  </si>
  <si>
    <t># från 2022-03-30 -&gt; 2022-04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</si>
  <si>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</si>
  <si>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</si>
  <si>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från 2022-04-29 -&gt; 2022-05</t>
  </si>
  <si>
    <t># från 2022-05-27 -&gt; 2022-06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</si>
  <si>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</si>
  <si>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från 2022-06-29 -&gt; 2022-07</t>
  </si>
  <si>
    <t># från 2022-07-29 -&gt; 2022-08</t>
  </si>
  <si>
    <t># från 2022-08-30 -&gt; 2022-09</t>
  </si>
  <si>
    <t># från 2022-09-29 -&gt; 2022-10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</si>
  <si>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</si>
  <si>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från 2022-10-28 -&gt; 2022-11</t>
  </si>
  <si>
    <t># från 2022-11-29 -&gt; 2022-12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</si>
  <si>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</si>
  <si>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</si>
  <si>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</si>
  <si>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</si>
  <si>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</si>
  <si>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</si>
  <si>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2023-12</t>
  </si>
  <si>
    <t># från 2022-12-29 -&gt; 2023-01</t>
  </si>
  <si>
    <t># från 2023-01-30 -&gt; 2023-02</t>
  </si>
  <si>
    <t># från 2023-02-27 -&gt; 2023-03</t>
  </si>
  <si>
    <t># från 2023-03-30 -&gt; 2023-04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</si>
  <si>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</si>
  <si>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</si>
  <si>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</si>
  <si>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från 2023-04-28 -&gt; 2023-05</t>
  </si>
  <si>
    <t># från 2023-05-30 -&gt; 2023-06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</si>
  <si>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</si>
  <si>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</si>
  <si>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</si>
  <si>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från 2023-06-29 -&gt; 2023-07</t>
  </si>
  <si>
    <t># från 2023-07-28 -&gt; 2023-08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</si>
  <si>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</si>
  <si>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</si>
  <si>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från 2023-08-30 -&gt; 2023-09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</si>
  <si>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</si>
  <si>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</si>
  <si>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från 2023-09-29 -&gt; 2023-10</t>
  </si>
  <si>
    <t># från 2023-10-30 -&gt; 2023-11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</si>
  <si>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"IWM"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</si>
  <si>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</si>
  <si>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från 2023-11-29 -&gt; 2023-12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</si>
  <si>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#viktad 2024</t>
    </r>
  </si>
  <si>
    <t># 2024-01</t>
  </si>
  <si>
    <t># 2024-02</t>
  </si>
  <si>
    <t># 2024-03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</si>
  <si>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</si>
  <si>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2024-04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</si>
  <si>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</si>
  <si>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</si>
  <si>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2024-05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</si>
  <si>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</si>
  <si>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</si>
  <si>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2024-06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</si>
  <si>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</si>
  <si>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</si>
  <si>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"WEAT"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</si>
  <si>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</si>
  <si>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</si>
  <si>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2024-07</t>
  </si>
  <si>
    <t># 2024-08</t>
  </si>
  <si>
    <t># 2024-09</t>
  </si>
  <si>
    <t># 2024-10</t>
  </si>
  <si>
    <t># 2024-11</t>
  </si>
  <si>
    <t># 2024-12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</si>
  <si>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"BNDW"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</si>
  <si>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</si>
  <si>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</si>
  <si>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#viktad 2025</t>
    </r>
  </si>
  <si>
    <t># 2025-01</t>
  </si>
  <si>
    <t># 2025-02</t>
  </si>
  <si>
    <t># 2025-03</t>
  </si>
  <si>
    <t># 2025-04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</si>
  <si>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</si>
  <si>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2025-05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</si>
  <si>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</si>
  <si>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2025-06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</si>
  <si>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</si>
  <si>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</si>
  <si>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</si>
  <si>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2025-07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</si>
  <si>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"IGIB"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</si>
  <si>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</si>
  <si>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2025-08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</si>
  <si>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"UUP"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</si>
  <si>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</si>
  <si>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2025-09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</si>
  <si>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</si>
  <si>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2025-10</t>
  </si>
  <si>
    <t># 2025-11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</si>
  <si>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</si>
  <si>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"IVV"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</si>
  <si>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2025-12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</si>
  <si>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</si>
  <si>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</si>
  <si>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</si>
  <si>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</si>
  <si>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#Likaviktad 2025</t>
    </r>
  </si>
  <si>
    <t>0,2/20/240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</si>
  <si>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#Viktad 2017</t>
    </r>
  </si>
  <si>
    <t># 2017-01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</si>
  <si>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</si>
  <si>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2017-02</t>
  </si>
  <si>
    <t># 2017-03</t>
  </si>
  <si>
    <t># 2017-04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</si>
  <si>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</si>
  <si>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2017-05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</si>
  <si>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</si>
  <si>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2017-06</t>
  </si>
  <si>
    <t># 2017-07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</si>
  <si>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"EMB"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</si>
  <si>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2017-08</t>
  </si>
  <si>
    <t># 2017-09</t>
  </si>
  <si>
    <t># 2017-10</t>
  </si>
  <si>
    <t># 2017-11</t>
  </si>
  <si>
    <t># 2017-12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</si>
  <si>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#Likaviktad 2017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</si>
  <si>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</si>
  <si>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</si>
  <si>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#viktad 2018</t>
    </r>
  </si>
  <si>
    <t># 2018-01</t>
  </si>
  <si>
    <t># 2018-02</t>
  </si>
  <si>
    <t># 2018-03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</si>
  <si>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"AGG"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</si>
  <si>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"TIP"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</si>
  <si>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</si>
  <si>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</si>
  <si>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2018-04</t>
  </si>
  <si>
    <t># 2018-05</t>
  </si>
  <si>
    <t># 2018-06</t>
  </si>
  <si>
    <t># 2018-07</t>
  </si>
  <si>
    <t># 2018-08</t>
  </si>
  <si>
    <t># 2018-09</t>
  </si>
  <si>
    <t># 2018-10</t>
  </si>
  <si>
    <t># 2018-11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</si>
  <si>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</si>
  <si>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</si>
  <si>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2018-12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</si>
  <si>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</si>
  <si>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</si>
  <si>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#Likaviktad 2018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</si>
  <si>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"2018-05"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</si>
  <si>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#Viktad 2019</t>
    </r>
  </si>
  <si>
    <t># från 2018-12-28 -&gt; 2019-01</t>
  </si>
  <si>
    <t># från 2019-01-30 -&gt; 2019-02</t>
  </si>
  <si>
    <t># från 2019-02-27 -&gt; 2019-03</t>
  </si>
  <si>
    <t># från 2019-03-29 -&gt; 2019-04</t>
  </si>
  <si>
    <t># från 2019-04-29 -&gt; 2019-05</t>
  </si>
  <si>
    <t># från 2019-05-30 -&gt; 2019-06</t>
  </si>
  <si>
    <t># från 2019-06-28 -&gt; 2019-07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</si>
  <si>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</si>
  <si>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från 2019-07-30 -&gt; 2019-08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</si>
  <si>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</si>
  <si>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</si>
  <si>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</si>
  <si>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från 2019-08-30 -&gt; 2019-09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</si>
  <si>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</si>
  <si>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</si>
  <si>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</si>
  <si>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från 2019-09-27 -&gt; 2019-10</t>
  </si>
  <si>
    <t># från 2019-10-30 -&gt; 2019-11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</si>
  <si>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"MCHI"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</si>
  <si>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"2019-11"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</si>
  <si>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från 2019-11-29 -&gt; 2019-12</t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</si>
  <si>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#Viktad 2020</t>
    </r>
  </si>
  <si>
    <t># från 2019-12-30 -&gt; 2020-01</t>
  </si>
  <si>
    <t># från 2020-01-30 -&gt; 2020-02</t>
  </si>
  <si>
    <t># från 2020-02-28 -&gt; 2020-03</t>
  </si>
  <si>
    <t># från 2020-03-30 -&gt; 2020-04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</si>
  <si>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</si>
  <si>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"QQQ"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</si>
  <si>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"ACWI"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</si>
  <si>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</si>
  <si>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</si>
  <si>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</si>
  <si>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från 2020-04-29 -&gt; 2020-05</t>
  </si>
  <si>
    <t># från 2020-05-29 -&gt; 2020-06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</si>
  <si>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"USO"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</si>
  <si>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från 2020-06-29 -&gt; 2020-07</t>
  </si>
  <si>
    <t># från 2020-07-30 -&gt; 2020-08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</si>
  <si>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"IEF"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</si>
  <si>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</si>
  <si>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</si>
  <si>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från 2020-08-28 -&gt; 2020-09</t>
  </si>
  <si>
    <t># från 2020-09-29 -&gt; 2020-10</t>
  </si>
  <si>
    <t># från 2020-10-30 -&gt; 2020-11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</si>
  <si>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</si>
  <si>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från 2020-11-27 -&gt; 2020-12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</si>
  <si>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</si>
  <si>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"CPER"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</si>
  <si>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#Likaviktad 2020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</si>
  <si>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"FXB"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</si>
  <si>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</si>
  <si>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</si>
  <si>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"VGk"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</si>
  <si>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"2020-12"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 xml:space="preserve">}, </t>
    </r>
  </si>
  <si>
    <t># 2021-01</t>
  </si>
  <si>
    <t># 2021-02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</si>
  <si>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</si>
  <si>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</si>
  <si>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2021-03</t>
  </si>
  <si>
    <t># 2021-04</t>
  </si>
  <si>
    <t># 2021-05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</si>
  <si>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</si>
  <si>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2021-06</t>
  </si>
  <si>
    <t># 2021-07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</si>
  <si>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</si>
  <si>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# 2021-08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</si>
  <si>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</si>
  <si>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2021-09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</si>
  <si>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</si>
  <si>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2021-10</t>
  </si>
  <si>
    <t># 2021-11</t>
  </si>
  <si>
    <t># 2021-12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</si>
  <si>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"BND"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</si>
  <si>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"FLOT"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</si>
  <si>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</si>
  <si>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"EEM"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</si>
  <si>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"2021-01"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"EWJ"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</si>
  <si>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#Viktad 2022</t>
    </r>
  </si>
  <si>
    <t># 2022-01</t>
  </si>
  <si>
    <t># 2022-02</t>
  </si>
  <si>
    <t># 2022-03</t>
  </si>
  <si>
    <t># 2022-04</t>
  </si>
  <si>
    <t># 2022-05</t>
  </si>
  <si>
    <t># 2022-06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</si>
  <si>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</si>
  <si>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2022-07</t>
  </si>
  <si>
    <t># 2022-08</t>
  </si>
  <si>
    <t># 2022-09</t>
  </si>
  <si>
    <t># 2022-10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</si>
  <si>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"2022-10"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</si>
  <si>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t># 2022-11</t>
  </si>
  <si>
    <t># 2022-12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</si>
  <si>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"2023-07"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"FXF"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</si>
  <si>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</si>
  <si>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"XBI"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</si>
  <si>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#Likaiktad 2023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</si>
  <si>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"2023-01"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"URTH"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</si>
  <si>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</si>
  <si>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</si>
  <si>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"FXI"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</si>
  <si>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</si>
  <si>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</si>
  <si>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"2024-09"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"GLD"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</si>
  <si>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 xml:space="preserve">monthly_positions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 </t>
    </r>
    <r>
      <rPr>
        <sz val="12"/>
        <color rgb="FF6A9955"/>
        <rFont val="Menlo"/>
        <family val="2"/>
      </rPr>
      <t>#Viktad 2025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</si>
  <si>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"LQD"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</si>
  <si>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</si>
  <si>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</si>
  <si>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"TLT"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</si>
  <si>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"2025-06"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</si>
  <si>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"2025-08"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"FXC"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</si>
  <si>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"VTWO"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</si>
  <si>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"2025-09"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"VNQ"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</si>
  <si>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</si>
  <si>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"JNK"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</si>
  <si>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"2025-12"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"HYG"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</si>
  <si>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"2025-04"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"EWO"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</si>
  <si>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0,2, 10, 120</t>
  </si>
  <si>
    <t># 2017-01 (från 2016-12-29)</t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</si>
  <si>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"2017-01"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"IAU"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</si>
  <si>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"2017-02"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"URA"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</si>
  <si>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"2017-03"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"BSV"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</si>
  <si>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"FXE"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</si>
  <si>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"2017-05"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"SPY"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"long"</t>
    </r>
    <r>
      <rPr>
        <sz val="12"/>
        <color rgb="FFCCCCCC"/>
        <rFont val="Menlo"/>
        <family val="2"/>
      </rPr>
      <t>},</t>
    </r>
  </si>
  <si>
    <r>
      <t>{</t>
    </r>
    <r>
      <rPr>
        <sz val="12"/>
        <color rgb="FFCE9178"/>
        <rFont val="Menlo"/>
        <family val="2"/>
      </rPr>
      <t>"month"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"2017-10"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"ticker"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"SLV"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"side"</t>
    </r>
    <r>
      <rPr>
        <sz val="12"/>
        <color rgb="FFCCCCCC"/>
        <rFont val="Menlo"/>
        <family val="2"/>
      </rPr>
      <t xml:space="preserve">: </t>
    </r>
    <r>
      <rPr>
        <sz val="12"/>
        <color rgb="FFCE9178"/>
        <rFont val="Menlo"/>
        <family val="2"/>
      </rPr>
      <t>"short"</t>
    </r>
    <r>
      <rPr>
        <sz val="12"/>
        <color rgb="FFCCCCCC"/>
        <rFont val="Menlo"/>
        <family val="2"/>
      </rPr>
      <t>},</t>
    </r>
  </si>
  <si>
    <t>Viktad</t>
  </si>
  <si>
    <t>APW</t>
  </si>
  <si>
    <t>EW</t>
  </si>
  <si>
    <t>Cumulative</t>
  </si>
  <si>
    <t>Method</t>
  </si>
  <si>
    <t>EW 2025</t>
  </si>
  <si>
    <t>APW 2025</t>
  </si>
  <si>
    <t>EW 2024</t>
  </si>
  <si>
    <t>APW 2024</t>
  </si>
  <si>
    <t>EW 2023</t>
  </si>
  <si>
    <t>APW 2023</t>
  </si>
  <si>
    <t>EW 2022</t>
  </si>
  <si>
    <t>APW 2022</t>
  </si>
  <si>
    <t>EW 2021</t>
  </si>
  <si>
    <t>APW 2021</t>
  </si>
  <si>
    <t>EW 2020</t>
  </si>
  <si>
    <t>APW 2020</t>
  </si>
  <si>
    <t>EW 2019</t>
  </si>
  <si>
    <t>APW 2019</t>
  </si>
  <si>
    <t>EW 2018</t>
  </si>
  <si>
    <t>APW 2018</t>
  </si>
  <si>
    <t>EW 2017</t>
  </si>
  <si>
    <t>APW 2017</t>
  </si>
  <si>
    <t>Januari</t>
  </si>
  <si>
    <t>Februari</t>
  </si>
  <si>
    <t>Mars</t>
  </si>
  <si>
    <t>April</t>
  </si>
  <si>
    <t>Maj</t>
  </si>
  <si>
    <t>Juni</t>
  </si>
  <si>
    <t>Juli</t>
  </si>
  <si>
    <t>Augusti</t>
  </si>
  <si>
    <t>September</t>
  </si>
  <si>
    <t>Oktober</t>
  </si>
  <si>
    <t>November</t>
  </si>
  <si>
    <t>December</t>
  </si>
  <si>
    <t xml:space="preserve">0,1 5 60 </t>
  </si>
  <si>
    <t xml:space="preserve">0,2 10 40 </t>
  </si>
  <si>
    <t xml:space="preserve">0,2 20 240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</si>
</sst>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"/>
    <numFmt numFmtId="166" formatCode="0.0000%"/>
  </numFmts>
  <fonts count="1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CCCCCC"/>
      <name val="Menlo"/>
      <family val="2"/>
    </font>
    <font>
      <sz val="12"/>
      <color rgb="FFD4D4D4"/>
      <name val="Menlo"/>
      <family val="2"/>
    </font>
    <font>
      <sz val="12"/>
      <color rgb="FF6A9955"/>
      <name val="Menlo"/>
      <family val="2"/>
    </font>
    <font>
      <sz val="12"/>
      <color rgb="FFCE9178"/>
      <name val="Menlo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ptos Narrow"/>
      <scheme val="minor"/>
    </font>
    <font>
      <b/>
      <sz val="12"/>
      <color rgb="FF000000"/>
      <name val="Times New Roman"/>
      <family val="1"/>
    </font>
    <font>
      <b/>
      <sz val="15"/>
      <color theme="1"/>
      <name val="Aptos Narrow"/>
      <scheme val="minor"/>
    </font>
    <font>
      <b/>
      <sz val="15"/>
      <color theme="1"/>
      <name val="Times New Roman"/>
      <family val="1"/>
    </font>
    <font>
      <sz val="10"/>
      <color rgb="FF000000"/>
      <name val="Helvetica Neue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10" fontId="0" fillId="0" borderId="0" xfId="0" applyNumberFormat="1"/>
    <xf numFmtId="0" fontId="8" fillId="0" borderId="0" xfId="0" applyFont="1"/>
    <xf numFmtId="2" fontId="0" fillId="0" borderId="0" xfId="0" applyNumberFormat="1"/>
    <xf numFmtId="0" fontId="1" fillId="0" borderId="0" xfId="0" applyFont="1"/>
    <xf numFmtId="0" fontId="9" fillId="0" borderId="0" xfId="0" applyFont="1"/>
    <xf numFmtId="0" fontId="10" fillId="0" borderId="0" xfId="0" applyFont="1"/>
    <xf numFmtId="10" fontId="6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2" fontId="6" fillId="0" borderId="0" xfId="0" applyNumberFormat="1" applyFont="1"/>
    <xf numFmtId="0" fontId="11" fillId="0" borderId="0" xfId="0" applyFont="1"/>
    <xf numFmtId="0" fontId="12" fillId="0" borderId="0" xfId="0" applyFont="1"/>
    <xf numFmtId="166" fontId="0" fillId="0" borderId="0" xfId="0" applyNumberFormat="1"/>
    <xf numFmtId="10" fontId="8" fillId="0" borderId="0" xfId="0" applyNumberFormat="1" applyFont="1"/>
    <xf numFmtId="10" fontId="14" fillId="0" borderId="0" xfId="0" applyNumberFormat="1" applyFont="1"/>
    <xf numFmtId="0" fontId="0" fillId="2" borderId="0" xfId="0" applyFill="1"/>
    <xf numFmtId="165" fontId="0" fillId="0" borderId="0" xfId="0" applyNumberFormat="1"/>
    <xf numFmtId="164" fontId="0" fillId="0" borderId="0" xfId="0" applyNumberFormat="1"/>
    <xf numFmtId="2" fontId="14" fillId="0" borderId="0" xfId="0" applyNumberFormat="1" applyFont="1"/>
    <xf numFmtId="164" fontId="15" fillId="0" borderId="0" xfId="0" applyNumberFormat="1" applyFont="1"/>
    <xf numFmtId="165" fontId="15" fillId="0" borderId="0" xfId="0" applyNumberFormat="1" applyFont="1"/>
    <xf numFmtId="10" fontId="15" fillId="0" borderId="0" xfId="0" applyNumberFormat="1" applyFont="1"/>
    <xf numFmtId="2" fontId="15" fillId="0" borderId="0" xfId="0" applyNumberFormat="1" applyFont="1"/>
    <xf numFmtId="10" fontId="16" fillId="0" borderId="0" xfId="0" applyNumberFormat="1" applyFont="1"/>
    <xf numFmtId="2" fontId="16" fillId="0" borderId="0" xfId="0" applyNumberFormat="1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BE5D-7B0C-0444-96B0-E80A3761D0A8}">
  <dimension ref="A1:Y259"/>
  <sheetViews>
    <sheetView tabSelected="1" topLeftCell="G1" workbookViewId="0">
      <selection activeCell="F175" sqref="F175"/>
    </sheetView>
  </sheetViews>
  <sheetFormatPr baseColWidth="10" defaultRowHeight="16" x14ac:dyDescent="0.2"/>
  <cols>
    <col min="1" max="1" width="11.6640625" bestFit="1" customWidth="1"/>
    <col min="4" max="4" width="23.5" customWidth="1"/>
    <col min="5" max="5" width="20" bestFit="1" customWidth="1"/>
    <col min="6" max="6" width="11.1640625" bestFit="1" customWidth="1"/>
    <col min="8" max="8" width="23" customWidth="1"/>
    <col min="9" max="9" width="29.33203125" customWidth="1"/>
    <col min="15" max="15" width="23.6640625" bestFit="1" customWidth="1"/>
    <col min="16" max="16" width="19.83203125" customWidth="1"/>
    <col min="17" max="17" width="11.6640625" bestFit="1" customWidth="1"/>
    <col min="22" max="22" width="23.6640625" bestFit="1" customWidth="1"/>
    <col min="23" max="23" width="18.6640625" bestFit="1" customWidth="1"/>
  </cols>
  <sheetData>
    <row r="1" spans="2:22" x14ac:dyDescent="0.2">
      <c r="B1" t="s">
        <v>134</v>
      </c>
    </row>
    <row r="3" spans="2:22" x14ac:dyDescent="0.2">
      <c r="B3" s="1" t="s">
        <v>133</v>
      </c>
    </row>
    <row r="4" spans="2:22" x14ac:dyDescent="0.2">
      <c r="B4" s="2" t="s">
        <v>0</v>
      </c>
    </row>
    <row r="5" spans="2:22" x14ac:dyDescent="0.2">
      <c r="B5" s="1" t="s">
        <v>1</v>
      </c>
      <c r="I5" s="1" t="s">
        <v>135</v>
      </c>
      <c r="P5" s="1" t="s">
        <v>183</v>
      </c>
      <c r="V5" s="1"/>
    </row>
    <row r="6" spans="2:22" x14ac:dyDescent="0.2">
      <c r="B6" s="1" t="s">
        <v>2</v>
      </c>
      <c r="I6" s="2" t="s">
        <v>0</v>
      </c>
      <c r="P6" s="2" t="s">
        <v>184</v>
      </c>
      <c r="V6" s="1" t="s">
        <v>321</v>
      </c>
    </row>
    <row r="7" spans="2:22" x14ac:dyDescent="0.2">
      <c r="B7" s="1" t="s">
        <v>3</v>
      </c>
      <c r="I7" s="1" t="s">
        <v>136</v>
      </c>
      <c r="P7" s="1" t="s">
        <v>208</v>
      </c>
      <c r="V7" s="1" t="s">
        <v>322</v>
      </c>
    </row>
    <row r="8" spans="2:22" x14ac:dyDescent="0.2">
      <c r="B8" s="1" t="s">
        <v>4</v>
      </c>
      <c r="I8" s="1" t="s">
        <v>137</v>
      </c>
      <c r="P8" s="1" t="s">
        <v>209</v>
      </c>
      <c r="V8" s="1" t="s">
        <v>323</v>
      </c>
    </row>
    <row r="9" spans="2:22" x14ac:dyDescent="0.2">
      <c r="B9" s="1" t="s">
        <v>5</v>
      </c>
      <c r="I9" s="1" t="s">
        <v>5</v>
      </c>
      <c r="P9" s="1" t="s">
        <v>210</v>
      </c>
      <c r="V9" s="1" t="s">
        <v>324</v>
      </c>
    </row>
    <row r="10" spans="2:22" x14ac:dyDescent="0.2">
      <c r="B10" s="1" t="s">
        <v>6</v>
      </c>
      <c r="I10" s="1" t="s">
        <v>7</v>
      </c>
      <c r="P10" s="1" t="s">
        <v>211</v>
      </c>
      <c r="V10" s="1" t="s">
        <v>325</v>
      </c>
    </row>
    <row r="11" spans="2:22" x14ac:dyDescent="0.2">
      <c r="B11" s="1" t="s">
        <v>7</v>
      </c>
      <c r="I11" s="1" t="s">
        <v>138</v>
      </c>
      <c r="P11" s="1" t="s">
        <v>212</v>
      </c>
      <c r="V11" s="1" t="s">
        <v>326</v>
      </c>
    </row>
    <row r="12" spans="2:22" x14ac:dyDescent="0.2">
      <c r="B12" s="1" t="s">
        <v>8</v>
      </c>
      <c r="I12" s="1" t="s">
        <v>139</v>
      </c>
      <c r="P12" s="1" t="s">
        <v>213</v>
      </c>
      <c r="V12" s="1" t="s">
        <v>327</v>
      </c>
    </row>
    <row r="13" spans="2:22" x14ac:dyDescent="0.2">
      <c r="B13" s="1" t="s">
        <v>9</v>
      </c>
      <c r="I13" s="1" t="s">
        <v>140</v>
      </c>
      <c r="P13" s="1" t="s">
        <v>214</v>
      </c>
      <c r="V13" s="1" t="s">
        <v>328</v>
      </c>
    </row>
    <row r="14" spans="2:22" x14ac:dyDescent="0.2">
      <c r="B14" s="1" t="s">
        <v>10</v>
      </c>
      <c r="I14" s="1" t="s">
        <v>6</v>
      </c>
      <c r="P14" s="1" t="s">
        <v>215</v>
      </c>
      <c r="V14" s="1" t="s">
        <v>329</v>
      </c>
    </row>
    <row r="15" spans="2:22" x14ac:dyDescent="0.2">
      <c r="I15" s="1" t="s">
        <v>141</v>
      </c>
      <c r="P15" s="1" t="s">
        <v>216</v>
      </c>
      <c r="V15" s="1" t="s">
        <v>330</v>
      </c>
    </row>
    <row r="16" spans="2:22" x14ac:dyDescent="0.2">
      <c r="B16" s="2" t="s">
        <v>11</v>
      </c>
      <c r="I16" s="1" t="s">
        <v>1</v>
      </c>
      <c r="P16" s="1" t="s">
        <v>217</v>
      </c>
      <c r="V16" s="1" t="s">
        <v>331</v>
      </c>
    </row>
    <row r="17" spans="2:22" x14ac:dyDescent="0.2">
      <c r="B17" s="1" t="s">
        <v>12</v>
      </c>
      <c r="V17" s="2" t="s">
        <v>332</v>
      </c>
    </row>
    <row r="18" spans="2:22" x14ac:dyDescent="0.2">
      <c r="B18" s="1" t="s">
        <v>13</v>
      </c>
      <c r="I18" s="2" t="s">
        <v>11</v>
      </c>
      <c r="P18" s="2" t="s">
        <v>185</v>
      </c>
      <c r="V18" s="1" t="s">
        <v>219</v>
      </c>
    </row>
    <row r="19" spans="2:22" x14ac:dyDescent="0.2">
      <c r="B19" s="1" t="s">
        <v>14</v>
      </c>
      <c r="I19" s="1" t="s">
        <v>12</v>
      </c>
      <c r="P19" s="1" t="s">
        <v>219</v>
      </c>
      <c r="V19" s="1" t="s">
        <v>333</v>
      </c>
    </row>
    <row r="20" spans="2:22" x14ac:dyDescent="0.2">
      <c r="B20" s="1" t="s">
        <v>15</v>
      </c>
      <c r="I20" s="1" t="s">
        <v>142</v>
      </c>
      <c r="P20" s="1" t="s">
        <v>218</v>
      </c>
      <c r="V20" s="1" t="s">
        <v>220</v>
      </c>
    </row>
    <row r="21" spans="2:22" x14ac:dyDescent="0.2">
      <c r="B21" s="1" t="s">
        <v>16</v>
      </c>
      <c r="I21" s="1" t="s">
        <v>14</v>
      </c>
      <c r="P21" s="1" t="s">
        <v>220</v>
      </c>
      <c r="V21" s="1" t="s">
        <v>186</v>
      </c>
    </row>
    <row r="22" spans="2:22" x14ac:dyDescent="0.2">
      <c r="B22" s="1" t="s">
        <v>17</v>
      </c>
      <c r="I22" s="1" t="s">
        <v>16</v>
      </c>
      <c r="P22" s="1" t="s">
        <v>186</v>
      </c>
      <c r="V22" s="1" t="s">
        <v>221</v>
      </c>
    </row>
    <row r="23" spans="2:22" x14ac:dyDescent="0.2">
      <c r="B23" s="1" t="s">
        <v>18</v>
      </c>
      <c r="I23" s="1" t="s">
        <v>17</v>
      </c>
      <c r="P23" s="1" t="s">
        <v>221</v>
      </c>
      <c r="V23" s="1" t="s">
        <v>222</v>
      </c>
    </row>
    <row r="24" spans="2:22" x14ac:dyDescent="0.2">
      <c r="B24" s="1" t="s">
        <v>19</v>
      </c>
      <c r="I24" s="1" t="s">
        <v>18</v>
      </c>
      <c r="P24" s="1" t="s">
        <v>222</v>
      </c>
      <c r="V24" s="1" t="s">
        <v>225</v>
      </c>
    </row>
    <row r="25" spans="2:22" x14ac:dyDescent="0.2">
      <c r="B25" s="1" t="s">
        <v>20</v>
      </c>
      <c r="I25" s="1" t="s">
        <v>19</v>
      </c>
      <c r="P25" s="1" t="s">
        <v>223</v>
      </c>
      <c r="V25" s="1" t="s">
        <v>226</v>
      </c>
    </row>
    <row r="26" spans="2:22" x14ac:dyDescent="0.2">
      <c r="B26" s="1" t="s">
        <v>21</v>
      </c>
      <c r="I26" s="1" t="s">
        <v>20</v>
      </c>
      <c r="P26" s="1" t="s">
        <v>224</v>
      </c>
      <c r="V26" s="1" t="s">
        <v>223</v>
      </c>
    </row>
    <row r="27" spans="2:22" x14ac:dyDescent="0.2">
      <c r="I27" s="1" t="s">
        <v>13</v>
      </c>
      <c r="P27" s="1" t="s">
        <v>225</v>
      </c>
      <c r="V27" s="1" t="s">
        <v>224</v>
      </c>
    </row>
    <row r="28" spans="2:22" x14ac:dyDescent="0.2">
      <c r="B28" s="2" t="s">
        <v>22</v>
      </c>
      <c r="I28" s="1" t="s">
        <v>21</v>
      </c>
      <c r="P28" s="1" t="s">
        <v>226</v>
      </c>
    </row>
    <row r="29" spans="2:22" x14ac:dyDescent="0.2">
      <c r="B29" s="1" t="s">
        <v>23</v>
      </c>
      <c r="V29" s="2" t="s">
        <v>334</v>
      </c>
    </row>
    <row r="30" spans="2:22" x14ac:dyDescent="0.2">
      <c r="B30" s="1" t="s">
        <v>24</v>
      </c>
      <c r="I30" s="2" t="s">
        <v>22</v>
      </c>
      <c r="P30" s="2" t="s">
        <v>187</v>
      </c>
      <c r="V30" s="1" t="s">
        <v>236</v>
      </c>
    </row>
    <row r="31" spans="2:22" x14ac:dyDescent="0.2">
      <c r="B31" s="1" t="s">
        <v>25</v>
      </c>
      <c r="I31" s="1" t="s">
        <v>23</v>
      </c>
      <c r="P31" s="1" t="s">
        <v>227</v>
      </c>
      <c r="V31" s="1" t="s">
        <v>335</v>
      </c>
    </row>
    <row r="32" spans="2:22" x14ac:dyDescent="0.2">
      <c r="B32" s="1" t="s">
        <v>26</v>
      </c>
      <c r="I32" s="1" t="s">
        <v>24</v>
      </c>
      <c r="P32" s="1" t="s">
        <v>228</v>
      </c>
      <c r="V32" s="1" t="s">
        <v>229</v>
      </c>
    </row>
    <row r="33" spans="2:22" x14ac:dyDescent="0.2">
      <c r="B33" s="1" t="s">
        <v>27</v>
      </c>
      <c r="I33" s="1" t="s">
        <v>25</v>
      </c>
      <c r="P33" s="1" t="s">
        <v>229</v>
      </c>
      <c r="V33" s="1" t="s">
        <v>336</v>
      </c>
    </row>
    <row r="34" spans="2:22" x14ac:dyDescent="0.2">
      <c r="B34" s="1" t="s">
        <v>28</v>
      </c>
      <c r="I34" s="1" t="s">
        <v>26</v>
      </c>
      <c r="P34" s="1" t="s">
        <v>230</v>
      </c>
      <c r="V34" s="1" t="s">
        <v>227</v>
      </c>
    </row>
    <row r="35" spans="2:22" x14ac:dyDescent="0.2">
      <c r="B35" s="1" t="s">
        <v>29</v>
      </c>
      <c r="I35" s="1" t="s">
        <v>27</v>
      </c>
      <c r="P35" s="1" t="s">
        <v>231</v>
      </c>
      <c r="V35" s="1" t="s">
        <v>233</v>
      </c>
    </row>
    <row r="36" spans="2:22" x14ac:dyDescent="0.2">
      <c r="B36" s="1" t="s">
        <v>30</v>
      </c>
      <c r="I36" s="1" t="s">
        <v>28</v>
      </c>
      <c r="P36" s="1" t="s">
        <v>232</v>
      </c>
      <c r="V36" s="1" t="s">
        <v>337</v>
      </c>
    </row>
    <row r="37" spans="2:22" x14ac:dyDescent="0.2">
      <c r="B37" s="1" t="s">
        <v>31</v>
      </c>
      <c r="I37" s="1" t="s">
        <v>29</v>
      </c>
      <c r="P37" s="1" t="s">
        <v>233</v>
      </c>
      <c r="V37" s="1" t="s">
        <v>338</v>
      </c>
    </row>
    <row r="38" spans="2:22" x14ac:dyDescent="0.2">
      <c r="B38" s="1" t="s">
        <v>32</v>
      </c>
      <c r="I38" s="1" t="s">
        <v>30</v>
      </c>
      <c r="P38" s="1" t="s">
        <v>234</v>
      </c>
      <c r="V38" s="1" t="s">
        <v>339</v>
      </c>
    </row>
    <row r="39" spans="2:22" x14ac:dyDescent="0.2">
      <c r="I39" s="1" t="s">
        <v>31</v>
      </c>
      <c r="P39" s="1" t="s">
        <v>235</v>
      </c>
      <c r="V39" s="1" t="s">
        <v>231</v>
      </c>
    </row>
    <row r="40" spans="2:22" x14ac:dyDescent="0.2">
      <c r="B40" s="2" t="s">
        <v>33</v>
      </c>
      <c r="I40" s="1" t="s">
        <v>32</v>
      </c>
      <c r="P40" s="1" t="s">
        <v>236</v>
      </c>
    </row>
    <row r="41" spans="2:22" x14ac:dyDescent="0.2">
      <c r="B41" s="1" t="s">
        <v>34</v>
      </c>
      <c r="V41" s="2" t="s">
        <v>340</v>
      </c>
    </row>
    <row r="42" spans="2:22" x14ac:dyDescent="0.2">
      <c r="B42" s="1" t="s">
        <v>35</v>
      </c>
      <c r="I42" s="2" t="s">
        <v>33</v>
      </c>
      <c r="P42" s="2" t="s">
        <v>188</v>
      </c>
      <c r="V42" s="1" t="s">
        <v>238</v>
      </c>
    </row>
    <row r="43" spans="2:22" x14ac:dyDescent="0.2">
      <c r="B43" s="1" t="s">
        <v>36</v>
      </c>
      <c r="I43" s="1" t="s">
        <v>36</v>
      </c>
      <c r="P43" s="1" t="s">
        <v>237</v>
      </c>
      <c r="V43" s="1" t="s">
        <v>205</v>
      </c>
    </row>
    <row r="44" spans="2:22" x14ac:dyDescent="0.2">
      <c r="B44" s="1" t="s">
        <v>37</v>
      </c>
      <c r="I44" s="1" t="s">
        <v>35</v>
      </c>
      <c r="P44" s="1" t="s">
        <v>205</v>
      </c>
      <c r="V44" s="1" t="s">
        <v>237</v>
      </c>
    </row>
    <row r="45" spans="2:22" x14ac:dyDescent="0.2">
      <c r="B45" s="1" t="s">
        <v>38</v>
      </c>
      <c r="I45" s="1" t="s">
        <v>38</v>
      </c>
      <c r="P45" s="1" t="s">
        <v>238</v>
      </c>
      <c r="V45" s="1" t="s">
        <v>240</v>
      </c>
    </row>
    <row r="46" spans="2:22" x14ac:dyDescent="0.2">
      <c r="B46" s="1" t="s">
        <v>39</v>
      </c>
      <c r="I46" s="1" t="s">
        <v>43</v>
      </c>
      <c r="P46" s="1" t="s">
        <v>239</v>
      </c>
      <c r="V46" s="1" t="s">
        <v>243</v>
      </c>
    </row>
    <row r="47" spans="2:22" x14ac:dyDescent="0.2">
      <c r="B47" s="1" t="s">
        <v>40</v>
      </c>
      <c r="I47" s="1" t="s">
        <v>143</v>
      </c>
      <c r="P47" s="1" t="s">
        <v>240</v>
      </c>
      <c r="V47" s="1" t="s">
        <v>244</v>
      </c>
    </row>
    <row r="48" spans="2:22" x14ac:dyDescent="0.2">
      <c r="B48" s="1" t="s">
        <v>41</v>
      </c>
      <c r="I48" s="1" t="s">
        <v>42</v>
      </c>
      <c r="P48" s="1" t="s">
        <v>241</v>
      </c>
      <c r="V48" s="1" t="s">
        <v>245</v>
      </c>
    </row>
    <row r="49" spans="2:22" x14ac:dyDescent="0.2">
      <c r="B49" s="1" t="s">
        <v>42</v>
      </c>
      <c r="I49" s="1" t="s">
        <v>144</v>
      </c>
      <c r="P49" s="1" t="s">
        <v>242</v>
      </c>
      <c r="V49" s="1" t="s">
        <v>241</v>
      </c>
    </row>
    <row r="50" spans="2:22" x14ac:dyDescent="0.2">
      <c r="B50" s="1" t="s">
        <v>43</v>
      </c>
      <c r="I50" s="1" t="s">
        <v>34</v>
      </c>
      <c r="P50" s="1" t="s">
        <v>243</v>
      </c>
      <c r="V50" s="1" t="s">
        <v>242</v>
      </c>
    </row>
    <row r="51" spans="2:22" x14ac:dyDescent="0.2">
      <c r="I51" s="1" t="s">
        <v>39</v>
      </c>
      <c r="P51" s="1" t="s">
        <v>244</v>
      </c>
      <c r="V51" s="1" t="s">
        <v>341</v>
      </c>
    </row>
    <row r="52" spans="2:22" x14ac:dyDescent="0.2">
      <c r="B52" s="2" t="s">
        <v>44</v>
      </c>
      <c r="I52" s="1" t="s">
        <v>40</v>
      </c>
      <c r="P52" s="1" t="s">
        <v>245</v>
      </c>
    </row>
    <row r="53" spans="2:22" x14ac:dyDescent="0.2">
      <c r="B53" s="1" t="s">
        <v>45</v>
      </c>
      <c r="V53" s="2" t="s">
        <v>342</v>
      </c>
    </row>
    <row r="54" spans="2:22" x14ac:dyDescent="0.2">
      <c r="B54" s="1" t="s">
        <v>46</v>
      </c>
      <c r="I54" s="2" t="s">
        <v>44</v>
      </c>
      <c r="P54" s="2" t="s">
        <v>189</v>
      </c>
      <c r="V54" s="1" t="s">
        <v>246</v>
      </c>
    </row>
    <row r="55" spans="2:22" x14ac:dyDescent="0.2">
      <c r="B55" s="1" t="s">
        <v>47</v>
      </c>
      <c r="I55" s="1" t="s">
        <v>48</v>
      </c>
      <c r="P55" s="1" t="s">
        <v>246</v>
      </c>
      <c r="V55" s="1" t="s">
        <v>343</v>
      </c>
    </row>
    <row r="56" spans="2:22" x14ac:dyDescent="0.2">
      <c r="B56" s="1" t="s">
        <v>48</v>
      </c>
      <c r="I56" s="1" t="s">
        <v>51</v>
      </c>
      <c r="P56" s="1" t="s">
        <v>247</v>
      </c>
      <c r="V56" s="1" t="s">
        <v>248</v>
      </c>
    </row>
    <row r="57" spans="2:22" x14ac:dyDescent="0.2">
      <c r="B57" s="1" t="s">
        <v>49</v>
      </c>
      <c r="I57" s="1" t="s">
        <v>45</v>
      </c>
      <c r="P57" s="1" t="s">
        <v>248</v>
      </c>
      <c r="V57" s="1" t="s">
        <v>252</v>
      </c>
    </row>
    <row r="58" spans="2:22" x14ac:dyDescent="0.2">
      <c r="B58" s="1" t="s">
        <v>50</v>
      </c>
      <c r="I58" s="1" t="s">
        <v>50</v>
      </c>
      <c r="P58" s="1" t="s">
        <v>249</v>
      </c>
      <c r="V58" s="1" t="s">
        <v>249</v>
      </c>
    </row>
    <row r="59" spans="2:22" x14ac:dyDescent="0.2">
      <c r="B59" s="1" t="s">
        <v>51</v>
      </c>
      <c r="I59" s="1" t="s">
        <v>46</v>
      </c>
      <c r="P59" s="1" t="s">
        <v>250</v>
      </c>
      <c r="V59" s="1" t="s">
        <v>255</v>
      </c>
    </row>
    <row r="60" spans="2:22" x14ac:dyDescent="0.2">
      <c r="B60" s="1" t="s">
        <v>52</v>
      </c>
      <c r="I60" s="1" t="s">
        <v>49</v>
      </c>
      <c r="P60" s="1" t="s">
        <v>251</v>
      </c>
      <c r="V60" s="1" t="s">
        <v>247</v>
      </c>
    </row>
    <row r="61" spans="2:22" x14ac:dyDescent="0.2">
      <c r="B61" s="1" t="s">
        <v>53</v>
      </c>
      <c r="I61" s="1" t="s">
        <v>47</v>
      </c>
      <c r="P61" s="1" t="s">
        <v>252</v>
      </c>
      <c r="V61" s="1" t="s">
        <v>250</v>
      </c>
    </row>
    <row r="62" spans="2:22" x14ac:dyDescent="0.2">
      <c r="B62" s="1" t="s">
        <v>54</v>
      </c>
      <c r="I62" s="1" t="s">
        <v>52</v>
      </c>
      <c r="P62" s="1" t="s">
        <v>253</v>
      </c>
      <c r="V62" s="1" t="s">
        <v>254</v>
      </c>
    </row>
    <row r="63" spans="2:22" x14ac:dyDescent="0.2">
      <c r="I63" s="1" t="s">
        <v>145</v>
      </c>
      <c r="P63" s="1" t="s">
        <v>254</v>
      </c>
      <c r="V63" s="1" t="s">
        <v>253</v>
      </c>
    </row>
    <row r="64" spans="2:22" x14ac:dyDescent="0.2">
      <c r="B64" s="2" t="s">
        <v>55</v>
      </c>
      <c r="I64" s="1" t="s">
        <v>146</v>
      </c>
      <c r="P64" s="1" t="s">
        <v>255</v>
      </c>
    </row>
    <row r="65" spans="2:22" x14ac:dyDescent="0.2">
      <c r="B65" s="1" t="s">
        <v>56</v>
      </c>
      <c r="V65" s="2" t="s">
        <v>344</v>
      </c>
    </row>
    <row r="66" spans="2:22" x14ac:dyDescent="0.2">
      <c r="B66" s="1" t="s">
        <v>57</v>
      </c>
      <c r="I66" s="2" t="s">
        <v>55</v>
      </c>
      <c r="P66" s="2" t="s">
        <v>190</v>
      </c>
      <c r="V66" s="1" t="s">
        <v>256</v>
      </c>
    </row>
    <row r="67" spans="2:22" x14ac:dyDescent="0.2">
      <c r="B67" s="1" t="s">
        <v>58</v>
      </c>
      <c r="I67" s="1" t="s">
        <v>56</v>
      </c>
      <c r="P67" s="1" t="s">
        <v>256</v>
      </c>
      <c r="V67" s="1" t="s">
        <v>257</v>
      </c>
    </row>
    <row r="68" spans="2:22" x14ac:dyDescent="0.2">
      <c r="B68" s="1" t="s">
        <v>59</v>
      </c>
      <c r="I68" s="1" t="s">
        <v>63</v>
      </c>
      <c r="P68" s="1" t="s">
        <v>257</v>
      </c>
      <c r="V68" s="1" t="s">
        <v>258</v>
      </c>
    </row>
    <row r="69" spans="2:22" x14ac:dyDescent="0.2">
      <c r="B69" s="1" t="s">
        <v>60</v>
      </c>
      <c r="I69" s="1" t="s">
        <v>58</v>
      </c>
      <c r="P69" s="1" t="s">
        <v>258</v>
      </c>
      <c r="V69" s="1" t="s">
        <v>259</v>
      </c>
    </row>
    <row r="70" spans="2:22" x14ac:dyDescent="0.2">
      <c r="B70" s="1" t="s">
        <v>61</v>
      </c>
      <c r="I70" s="1" t="s">
        <v>59</v>
      </c>
      <c r="P70" s="1" t="s">
        <v>259</v>
      </c>
      <c r="V70" s="1" t="s">
        <v>260</v>
      </c>
    </row>
    <row r="71" spans="2:22" x14ac:dyDescent="0.2">
      <c r="B71" s="1" t="s">
        <v>62</v>
      </c>
      <c r="I71" s="1" t="s">
        <v>64</v>
      </c>
      <c r="P71" s="1" t="s">
        <v>260</v>
      </c>
      <c r="V71" s="1" t="s">
        <v>261</v>
      </c>
    </row>
    <row r="72" spans="2:22" x14ac:dyDescent="0.2">
      <c r="B72" s="1" t="s">
        <v>63</v>
      </c>
      <c r="I72" s="1" t="s">
        <v>60</v>
      </c>
      <c r="P72" s="1" t="s">
        <v>261</v>
      </c>
      <c r="V72" s="1" t="s">
        <v>262</v>
      </c>
    </row>
    <row r="73" spans="2:22" x14ac:dyDescent="0.2">
      <c r="B73" s="1" t="s">
        <v>64</v>
      </c>
      <c r="I73" s="1" t="s">
        <v>61</v>
      </c>
      <c r="P73" s="1" t="s">
        <v>262</v>
      </c>
      <c r="V73" s="1" t="s">
        <v>263</v>
      </c>
    </row>
    <row r="74" spans="2:22" x14ac:dyDescent="0.2">
      <c r="B74" s="1" t="s">
        <v>65</v>
      </c>
      <c r="I74" s="1" t="s">
        <v>57</v>
      </c>
      <c r="P74" s="1" t="s">
        <v>263</v>
      </c>
      <c r="V74" s="1" t="s">
        <v>265</v>
      </c>
    </row>
    <row r="75" spans="2:22" x14ac:dyDescent="0.2">
      <c r="I75" s="1" t="s">
        <v>62</v>
      </c>
      <c r="P75" s="1" t="s">
        <v>264</v>
      </c>
      <c r="V75" s="1" t="s">
        <v>264</v>
      </c>
    </row>
    <row r="76" spans="2:22" x14ac:dyDescent="0.2">
      <c r="B76" s="2" t="s">
        <v>66</v>
      </c>
      <c r="I76" s="1" t="s">
        <v>147</v>
      </c>
      <c r="P76" s="1" t="s">
        <v>265</v>
      </c>
    </row>
    <row r="77" spans="2:22" x14ac:dyDescent="0.2">
      <c r="B77" s="1" t="s">
        <v>67</v>
      </c>
      <c r="V77" s="2" t="s">
        <v>345</v>
      </c>
    </row>
    <row r="78" spans="2:22" x14ac:dyDescent="0.2">
      <c r="B78" s="1" t="s">
        <v>68</v>
      </c>
      <c r="I78" s="2" t="s">
        <v>66</v>
      </c>
      <c r="P78" s="2" t="s">
        <v>191</v>
      </c>
      <c r="V78" s="1" t="s">
        <v>266</v>
      </c>
    </row>
    <row r="79" spans="2:22" x14ac:dyDescent="0.2">
      <c r="B79" s="1" t="s">
        <v>69</v>
      </c>
      <c r="I79" s="1" t="s">
        <v>68</v>
      </c>
      <c r="P79" s="1" t="s">
        <v>266</v>
      </c>
      <c r="V79" s="1" t="s">
        <v>267</v>
      </c>
    </row>
    <row r="80" spans="2:22" x14ac:dyDescent="0.2">
      <c r="B80" s="1" t="s">
        <v>70</v>
      </c>
      <c r="I80" s="1" t="s">
        <v>148</v>
      </c>
      <c r="P80" s="1" t="s">
        <v>267</v>
      </c>
      <c r="V80" s="1" t="s">
        <v>268</v>
      </c>
    </row>
    <row r="81" spans="2:22" x14ac:dyDescent="0.2">
      <c r="B81" s="1" t="s">
        <v>71</v>
      </c>
      <c r="I81" s="1" t="s">
        <v>149</v>
      </c>
      <c r="P81" s="1" t="s">
        <v>268</v>
      </c>
      <c r="V81" s="1" t="s">
        <v>269</v>
      </c>
    </row>
    <row r="82" spans="2:22" x14ac:dyDescent="0.2">
      <c r="B82" s="1" t="s">
        <v>72</v>
      </c>
      <c r="I82" s="1" t="s">
        <v>150</v>
      </c>
      <c r="P82" s="1" t="s">
        <v>269</v>
      </c>
      <c r="V82" s="1" t="s">
        <v>270</v>
      </c>
    </row>
    <row r="83" spans="2:22" x14ac:dyDescent="0.2">
      <c r="B83" s="1" t="s">
        <v>73</v>
      </c>
      <c r="I83" s="1" t="s">
        <v>151</v>
      </c>
      <c r="P83" s="1" t="s">
        <v>270</v>
      </c>
      <c r="V83" s="1" t="s">
        <v>271</v>
      </c>
    </row>
    <row r="84" spans="2:22" x14ac:dyDescent="0.2">
      <c r="B84" s="1" t="s">
        <v>74</v>
      </c>
      <c r="I84" s="1" t="s">
        <v>152</v>
      </c>
      <c r="P84" s="1" t="s">
        <v>271</v>
      </c>
      <c r="V84" s="1" t="s">
        <v>272</v>
      </c>
    </row>
    <row r="85" spans="2:22" x14ac:dyDescent="0.2">
      <c r="B85" s="1" t="s">
        <v>75</v>
      </c>
      <c r="I85" s="1" t="s">
        <v>76</v>
      </c>
      <c r="P85" s="1" t="s">
        <v>272</v>
      </c>
      <c r="V85" s="1" t="s">
        <v>273</v>
      </c>
    </row>
    <row r="86" spans="2:22" x14ac:dyDescent="0.2">
      <c r="B86" s="1" t="s">
        <v>76</v>
      </c>
      <c r="I86" s="1" t="s">
        <v>69</v>
      </c>
      <c r="P86" s="1" t="s">
        <v>273</v>
      </c>
      <c r="V86" s="1" t="s">
        <v>274</v>
      </c>
    </row>
    <row r="87" spans="2:22" x14ac:dyDescent="0.2">
      <c r="I87" s="1" t="s">
        <v>70</v>
      </c>
      <c r="P87" s="1" t="s">
        <v>274</v>
      </c>
      <c r="V87" s="1" t="s">
        <v>275</v>
      </c>
    </row>
    <row r="88" spans="2:22" x14ac:dyDescent="0.2">
      <c r="B88" s="2" t="s">
        <v>77</v>
      </c>
      <c r="I88" s="1" t="s">
        <v>75</v>
      </c>
      <c r="P88" s="1" t="s">
        <v>275</v>
      </c>
    </row>
    <row r="89" spans="2:22" x14ac:dyDescent="0.2">
      <c r="B89" s="1" t="s">
        <v>78</v>
      </c>
      <c r="V89" s="2" t="s">
        <v>346</v>
      </c>
    </row>
    <row r="90" spans="2:22" x14ac:dyDescent="0.2">
      <c r="B90" s="1" t="s">
        <v>79</v>
      </c>
      <c r="I90" s="2" t="s">
        <v>77</v>
      </c>
      <c r="P90" s="2" t="s">
        <v>191</v>
      </c>
      <c r="V90" s="1" t="s">
        <v>276</v>
      </c>
    </row>
    <row r="91" spans="2:22" x14ac:dyDescent="0.2">
      <c r="B91" s="1" t="s">
        <v>80</v>
      </c>
      <c r="I91" s="1" t="s">
        <v>87</v>
      </c>
      <c r="P91" s="1" t="s">
        <v>276</v>
      </c>
      <c r="V91" s="1" t="s">
        <v>277</v>
      </c>
    </row>
    <row r="92" spans="2:22" x14ac:dyDescent="0.2">
      <c r="B92" s="1" t="s">
        <v>81</v>
      </c>
      <c r="I92" s="1" t="s">
        <v>79</v>
      </c>
      <c r="P92" s="1" t="s">
        <v>277</v>
      </c>
      <c r="V92" s="1" t="s">
        <v>347</v>
      </c>
    </row>
    <row r="93" spans="2:22" x14ac:dyDescent="0.2">
      <c r="B93" s="1" t="s">
        <v>82</v>
      </c>
      <c r="I93" s="1" t="s">
        <v>80</v>
      </c>
      <c r="P93" s="1" t="s">
        <v>278</v>
      </c>
      <c r="V93" s="1" t="s">
        <v>192</v>
      </c>
    </row>
    <row r="94" spans="2:22" x14ac:dyDescent="0.2">
      <c r="B94" s="1" t="s">
        <v>83</v>
      </c>
      <c r="I94" s="1" t="s">
        <v>81</v>
      </c>
      <c r="P94" s="1" t="s">
        <v>192</v>
      </c>
      <c r="V94" s="1" t="s">
        <v>279</v>
      </c>
    </row>
    <row r="95" spans="2:22" x14ac:dyDescent="0.2">
      <c r="B95" s="1" t="s">
        <v>84</v>
      </c>
      <c r="I95" s="1" t="s">
        <v>82</v>
      </c>
      <c r="P95" s="1" t="s">
        <v>279</v>
      </c>
      <c r="V95" s="1" t="s">
        <v>280</v>
      </c>
    </row>
    <row r="96" spans="2:22" x14ac:dyDescent="0.2">
      <c r="B96" s="1" t="s">
        <v>85</v>
      </c>
      <c r="I96" s="1" t="s">
        <v>78</v>
      </c>
      <c r="P96" s="1" t="s">
        <v>280</v>
      </c>
      <c r="V96" s="1" t="s">
        <v>281</v>
      </c>
    </row>
    <row r="97" spans="2:22" x14ac:dyDescent="0.2">
      <c r="B97" s="1" t="s">
        <v>86</v>
      </c>
      <c r="I97" s="1" t="s">
        <v>84</v>
      </c>
      <c r="P97" s="1" t="s">
        <v>281</v>
      </c>
      <c r="V97" s="1" t="s">
        <v>282</v>
      </c>
    </row>
    <row r="98" spans="2:22" x14ac:dyDescent="0.2">
      <c r="B98" s="1" t="s">
        <v>87</v>
      </c>
      <c r="I98" s="1" t="s">
        <v>85</v>
      </c>
      <c r="P98" s="1" t="s">
        <v>282</v>
      </c>
      <c r="V98" s="1" t="s">
        <v>283</v>
      </c>
    </row>
    <row r="99" spans="2:22" x14ac:dyDescent="0.2">
      <c r="I99" s="1" t="s">
        <v>86</v>
      </c>
      <c r="P99" s="1" t="s">
        <v>283</v>
      </c>
      <c r="V99" s="1" t="s">
        <v>284</v>
      </c>
    </row>
    <row r="100" spans="2:22" x14ac:dyDescent="0.2">
      <c r="B100" s="2" t="s">
        <v>88</v>
      </c>
      <c r="I100" s="1" t="s">
        <v>153</v>
      </c>
      <c r="P100" s="1" t="s">
        <v>284</v>
      </c>
    </row>
    <row r="101" spans="2:22" x14ac:dyDescent="0.2">
      <c r="B101" s="1" t="s">
        <v>89</v>
      </c>
      <c r="V101" s="2" t="s">
        <v>348</v>
      </c>
    </row>
    <row r="102" spans="2:22" x14ac:dyDescent="0.2">
      <c r="B102" s="1" t="s">
        <v>90</v>
      </c>
      <c r="I102" s="2" t="s">
        <v>88</v>
      </c>
      <c r="P102" s="2" t="s">
        <v>193</v>
      </c>
      <c r="V102" s="1" t="s">
        <v>285</v>
      </c>
    </row>
    <row r="103" spans="2:22" x14ac:dyDescent="0.2">
      <c r="B103" s="1" t="s">
        <v>91</v>
      </c>
      <c r="I103" s="1" t="s">
        <v>154</v>
      </c>
      <c r="P103" s="1" t="s">
        <v>285</v>
      </c>
      <c r="V103" s="1" t="s">
        <v>349</v>
      </c>
    </row>
    <row r="104" spans="2:22" x14ac:dyDescent="0.2">
      <c r="B104" s="1" t="s">
        <v>92</v>
      </c>
      <c r="I104" s="1" t="s">
        <v>91</v>
      </c>
      <c r="P104" s="1" t="s">
        <v>286</v>
      </c>
      <c r="V104" s="1" t="s">
        <v>288</v>
      </c>
    </row>
    <row r="105" spans="2:22" x14ac:dyDescent="0.2">
      <c r="B105" s="1" t="s">
        <v>93</v>
      </c>
      <c r="I105" s="1" t="s">
        <v>90</v>
      </c>
      <c r="P105" s="1" t="s">
        <v>194</v>
      </c>
      <c r="V105" s="1" t="s">
        <v>350</v>
      </c>
    </row>
    <row r="106" spans="2:22" x14ac:dyDescent="0.2">
      <c r="B106" s="1" t="s">
        <v>94</v>
      </c>
      <c r="I106" s="1" t="s">
        <v>93</v>
      </c>
      <c r="P106" s="1" t="s">
        <v>206</v>
      </c>
      <c r="V106" s="1" t="s">
        <v>351</v>
      </c>
    </row>
    <row r="107" spans="2:22" x14ac:dyDescent="0.2">
      <c r="B107" s="1" t="s">
        <v>95</v>
      </c>
      <c r="I107" s="1" t="s">
        <v>94</v>
      </c>
      <c r="P107" s="1" t="s">
        <v>287</v>
      </c>
      <c r="V107" s="1" t="s">
        <v>195</v>
      </c>
    </row>
    <row r="108" spans="2:22" x14ac:dyDescent="0.2">
      <c r="B108" s="1" t="s">
        <v>96</v>
      </c>
      <c r="I108" s="1" t="s">
        <v>92</v>
      </c>
      <c r="P108" s="1" t="s">
        <v>288</v>
      </c>
      <c r="V108" s="1" t="s">
        <v>194</v>
      </c>
    </row>
    <row r="109" spans="2:22" x14ac:dyDescent="0.2">
      <c r="B109" s="1" t="s">
        <v>97</v>
      </c>
      <c r="I109" s="1" t="s">
        <v>95</v>
      </c>
      <c r="P109" s="1" t="s">
        <v>195</v>
      </c>
      <c r="V109" s="1" t="s">
        <v>206</v>
      </c>
    </row>
    <row r="110" spans="2:22" x14ac:dyDescent="0.2">
      <c r="B110" s="1" t="s">
        <v>98</v>
      </c>
      <c r="I110" s="1" t="s">
        <v>155</v>
      </c>
      <c r="P110" s="1" t="s">
        <v>196</v>
      </c>
      <c r="V110" s="1" t="s">
        <v>196</v>
      </c>
    </row>
    <row r="111" spans="2:22" x14ac:dyDescent="0.2">
      <c r="I111" s="1" t="s">
        <v>156</v>
      </c>
      <c r="P111" s="1" t="s">
        <v>289</v>
      </c>
      <c r="V111" s="1" t="s">
        <v>289</v>
      </c>
    </row>
    <row r="112" spans="2:22" x14ac:dyDescent="0.2">
      <c r="B112" s="2" t="s">
        <v>99</v>
      </c>
      <c r="I112" s="1" t="s">
        <v>157</v>
      </c>
      <c r="P112" s="1" t="s">
        <v>290</v>
      </c>
    </row>
    <row r="113" spans="2:22" x14ac:dyDescent="0.2">
      <c r="B113" s="1" t="s">
        <v>100</v>
      </c>
      <c r="V113" s="2" t="s">
        <v>352</v>
      </c>
    </row>
    <row r="114" spans="2:22" x14ac:dyDescent="0.2">
      <c r="B114" s="1" t="s">
        <v>101</v>
      </c>
      <c r="I114" s="2" t="s">
        <v>99</v>
      </c>
      <c r="P114" s="2" t="s">
        <v>197</v>
      </c>
      <c r="V114" s="1" t="s">
        <v>297</v>
      </c>
    </row>
    <row r="115" spans="2:22" x14ac:dyDescent="0.2">
      <c r="B115" s="1" t="s">
        <v>102</v>
      </c>
      <c r="I115" s="1" t="s">
        <v>100</v>
      </c>
      <c r="P115" s="1" t="s">
        <v>207</v>
      </c>
      <c r="V115" s="1" t="s">
        <v>293</v>
      </c>
    </row>
    <row r="116" spans="2:22" x14ac:dyDescent="0.2">
      <c r="B116" s="1" t="s">
        <v>103</v>
      </c>
      <c r="I116" s="1" t="s">
        <v>103</v>
      </c>
      <c r="P116" s="1" t="s">
        <v>291</v>
      </c>
      <c r="V116" s="1" t="s">
        <v>298</v>
      </c>
    </row>
    <row r="117" spans="2:22" x14ac:dyDescent="0.2">
      <c r="B117" s="1" t="s">
        <v>104</v>
      </c>
      <c r="I117" s="1" t="s">
        <v>107</v>
      </c>
      <c r="P117" s="1" t="s">
        <v>292</v>
      </c>
      <c r="V117" s="1" t="s">
        <v>295</v>
      </c>
    </row>
    <row r="118" spans="2:22" x14ac:dyDescent="0.2">
      <c r="B118" s="1" t="s">
        <v>105</v>
      </c>
      <c r="I118" s="1" t="s">
        <v>106</v>
      </c>
      <c r="P118" s="1" t="s">
        <v>293</v>
      </c>
      <c r="V118" s="1" t="s">
        <v>294</v>
      </c>
    </row>
    <row r="119" spans="2:22" x14ac:dyDescent="0.2">
      <c r="B119" s="1" t="s">
        <v>106</v>
      </c>
      <c r="I119" s="1" t="s">
        <v>105</v>
      </c>
      <c r="P119" s="1" t="s">
        <v>294</v>
      </c>
      <c r="V119" s="1" t="s">
        <v>292</v>
      </c>
    </row>
    <row r="120" spans="2:22" x14ac:dyDescent="0.2">
      <c r="B120" s="1" t="s">
        <v>107</v>
      </c>
      <c r="I120" s="1" t="s">
        <v>108</v>
      </c>
      <c r="P120" s="1" t="s">
        <v>295</v>
      </c>
      <c r="V120" s="1" t="s">
        <v>207</v>
      </c>
    </row>
    <row r="121" spans="2:22" x14ac:dyDescent="0.2">
      <c r="B121" s="1" t="s">
        <v>108</v>
      </c>
      <c r="I121" s="1" t="s">
        <v>109</v>
      </c>
      <c r="P121" s="1" t="s">
        <v>296</v>
      </c>
      <c r="V121" s="1" t="s">
        <v>291</v>
      </c>
    </row>
    <row r="122" spans="2:22" x14ac:dyDescent="0.2">
      <c r="B122" s="1" t="s">
        <v>109</v>
      </c>
      <c r="I122" s="1" t="s">
        <v>104</v>
      </c>
      <c r="P122" s="1" t="s">
        <v>297</v>
      </c>
      <c r="V122" s="1" t="s">
        <v>296</v>
      </c>
    </row>
    <row r="123" spans="2:22" x14ac:dyDescent="0.2">
      <c r="I123" s="1" t="s">
        <v>101</v>
      </c>
      <c r="P123" s="1" t="s">
        <v>298</v>
      </c>
      <c r="V123" s="1" t="s">
        <v>198</v>
      </c>
    </row>
    <row r="124" spans="2:22" x14ac:dyDescent="0.2">
      <c r="B124" s="2" t="s">
        <v>110</v>
      </c>
      <c r="I124" s="1" t="s">
        <v>102</v>
      </c>
      <c r="P124" s="1" t="s">
        <v>199</v>
      </c>
    </row>
    <row r="125" spans="2:22" x14ac:dyDescent="0.2">
      <c r="B125" s="1" t="s">
        <v>111</v>
      </c>
      <c r="V125" s="2" t="s">
        <v>353</v>
      </c>
    </row>
    <row r="126" spans="2:22" x14ac:dyDescent="0.2">
      <c r="B126" s="1" t="s">
        <v>112</v>
      </c>
      <c r="I126" s="2" t="s">
        <v>110</v>
      </c>
      <c r="P126" s="2" t="s">
        <v>200</v>
      </c>
      <c r="V126" s="1" t="s">
        <v>300</v>
      </c>
    </row>
    <row r="127" spans="2:22" x14ac:dyDescent="0.2">
      <c r="B127" s="1" t="s">
        <v>113</v>
      </c>
      <c r="I127" s="1" t="s">
        <v>111</v>
      </c>
      <c r="P127" s="1" t="s">
        <v>299</v>
      </c>
      <c r="V127" s="1" t="s">
        <v>302</v>
      </c>
    </row>
    <row r="128" spans="2:22" x14ac:dyDescent="0.2">
      <c r="B128" s="1" t="s">
        <v>114</v>
      </c>
      <c r="I128" s="1" t="s">
        <v>112</v>
      </c>
      <c r="P128" s="1" t="s">
        <v>300</v>
      </c>
      <c r="V128" s="1" t="s">
        <v>304</v>
      </c>
    </row>
    <row r="129" spans="2:22" x14ac:dyDescent="0.2">
      <c r="B129" s="1" t="s">
        <v>115</v>
      </c>
      <c r="I129" s="1" t="s">
        <v>114</v>
      </c>
      <c r="P129" s="1" t="s">
        <v>301</v>
      </c>
      <c r="V129" s="1" t="s">
        <v>307</v>
      </c>
    </row>
    <row r="130" spans="2:22" x14ac:dyDescent="0.2">
      <c r="B130" s="1" t="s">
        <v>116</v>
      </c>
      <c r="I130" s="1" t="s">
        <v>113</v>
      </c>
      <c r="P130" s="1" t="s">
        <v>302</v>
      </c>
      <c r="V130" s="1" t="s">
        <v>299</v>
      </c>
    </row>
    <row r="131" spans="2:22" x14ac:dyDescent="0.2">
      <c r="B131" s="1" t="s">
        <v>117</v>
      </c>
      <c r="I131" s="1" t="s">
        <v>115</v>
      </c>
      <c r="P131" s="1" t="s">
        <v>303</v>
      </c>
      <c r="V131" s="1" t="s">
        <v>306</v>
      </c>
    </row>
    <row r="132" spans="2:22" x14ac:dyDescent="0.2">
      <c r="B132" s="1" t="s">
        <v>118</v>
      </c>
      <c r="I132" s="1" t="s">
        <v>158</v>
      </c>
      <c r="P132" s="1" t="s">
        <v>304</v>
      </c>
      <c r="V132" s="1" t="s">
        <v>354</v>
      </c>
    </row>
    <row r="133" spans="2:22" x14ac:dyDescent="0.2">
      <c r="B133" s="1" t="s">
        <v>119</v>
      </c>
      <c r="I133" s="1" t="s">
        <v>159</v>
      </c>
      <c r="P133" s="1" t="s">
        <v>305</v>
      </c>
      <c r="V133" s="1" t="s">
        <v>355</v>
      </c>
    </row>
    <row r="134" spans="2:22" x14ac:dyDescent="0.2">
      <c r="B134" s="1" t="s">
        <v>120</v>
      </c>
      <c r="I134" s="1" t="s">
        <v>160</v>
      </c>
      <c r="P134" s="1" t="s">
        <v>306</v>
      </c>
      <c r="V134" s="1" t="s">
        <v>356</v>
      </c>
    </row>
    <row r="135" spans="2:22" x14ac:dyDescent="0.2">
      <c r="I135" s="1" t="s">
        <v>161</v>
      </c>
      <c r="P135" s="1" t="s">
        <v>307</v>
      </c>
      <c r="V135" s="1" t="s">
        <v>357</v>
      </c>
    </row>
    <row r="136" spans="2:22" x14ac:dyDescent="0.2">
      <c r="B136" s="2" t="s">
        <v>121</v>
      </c>
      <c r="I136" s="1" t="s">
        <v>162</v>
      </c>
      <c r="P136" s="1" t="s">
        <v>308</v>
      </c>
    </row>
    <row r="137" spans="2:22" x14ac:dyDescent="0.2">
      <c r="B137" s="1" t="s">
        <v>122</v>
      </c>
      <c r="V137" s="2" t="s">
        <v>358</v>
      </c>
    </row>
    <row r="138" spans="2:22" x14ac:dyDescent="0.2">
      <c r="B138" s="1" t="s">
        <v>123</v>
      </c>
      <c r="I138" s="2" t="s">
        <v>121</v>
      </c>
      <c r="P138" s="2" t="s">
        <v>309</v>
      </c>
      <c r="V138" s="1" t="s">
        <v>310</v>
      </c>
    </row>
    <row r="139" spans="2:22" x14ac:dyDescent="0.2">
      <c r="B139" s="1" t="s">
        <v>124</v>
      </c>
      <c r="I139" s="1" t="s">
        <v>122</v>
      </c>
      <c r="P139" s="1" t="s">
        <v>310</v>
      </c>
      <c r="V139" s="1" t="s">
        <v>359</v>
      </c>
    </row>
    <row r="140" spans="2:22" x14ac:dyDescent="0.2">
      <c r="B140" s="1" t="s">
        <v>125</v>
      </c>
      <c r="I140" s="1" t="s">
        <v>123</v>
      </c>
      <c r="P140" s="1" t="s">
        <v>311</v>
      </c>
      <c r="V140" s="1" t="s">
        <v>312</v>
      </c>
    </row>
    <row r="141" spans="2:22" x14ac:dyDescent="0.2">
      <c r="B141" s="1" t="s">
        <v>126</v>
      </c>
      <c r="I141" s="1" t="s">
        <v>124</v>
      </c>
      <c r="P141" s="1" t="s">
        <v>312</v>
      </c>
      <c r="V141" s="1" t="s">
        <v>313</v>
      </c>
    </row>
    <row r="142" spans="2:22" x14ac:dyDescent="0.2">
      <c r="B142" s="1" t="s">
        <v>127</v>
      </c>
      <c r="I142" s="1" t="s">
        <v>163</v>
      </c>
      <c r="P142" s="1" t="s">
        <v>313</v>
      </c>
      <c r="V142" s="1" t="s">
        <v>314</v>
      </c>
    </row>
    <row r="143" spans="2:22" x14ac:dyDescent="0.2">
      <c r="B143" s="1" t="s">
        <v>128</v>
      </c>
      <c r="I143" s="1" t="s">
        <v>164</v>
      </c>
      <c r="P143" s="1" t="s">
        <v>314</v>
      </c>
      <c r="V143" s="1" t="s">
        <v>315</v>
      </c>
    </row>
    <row r="144" spans="2:22" x14ac:dyDescent="0.2">
      <c r="B144" s="1" t="s">
        <v>129</v>
      </c>
      <c r="I144" s="1" t="s">
        <v>127</v>
      </c>
      <c r="P144" s="1" t="s">
        <v>315</v>
      </c>
      <c r="V144" s="1" t="s">
        <v>317</v>
      </c>
    </row>
    <row r="145" spans="1:25" x14ac:dyDescent="0.2">
      <c r="B145" s="1" t="s">
        <v>130</v>
      </c>
      <c r="I145" s="1" t="s">
        <v>165</v>
      </c>
      <c r="P145" s="1" t="s">
        <v>316</v>
      </c>
      <c r="V145" s="1" t="s">
        <v>318</v>
      </c>
    </row>
    <row r="146" spans="1:25" x14ac:dyDescent="0.2">
      <c r="B146" s="1" t="s">
        <v>131</v>
      </c>
      <c r="I146" s="1" t="s">
        <v>166</v>
      </c>
      <c r="P146" s="1" t="s">
        <v>317</v>
      </c>
      <c r="V146" s="1" t="s">
        <v>316</v>
      </c>
    </row>
    <row r="147" spans="1:25" x14ac:dyDescent="0.2">
      <c r="B147" s="1" t="s">
        <v>132</v>
      </c>
      <c r="I147" s="1" t="s">
        <v>124</v>
      </c>
      <c r="P147" s="1" t="s">
        <v>318</v>
      </c>
      <c r="V147" s="1" t="s">
        <v>319</v>
      </c>
    </row>
    <row r="148" spans="1:25" x14ac:dyDescent="0.2">
      <c r="I148" s="1" t="s">
        <v>167</v>
      </c>
      <c r="P148" s="1" t="s">
        <v>319</v>
      </c>
      <c r="V148" s="1" t="s">
        <v>132</v>
      </c>
    </row>
    <row r="149" spans="1:25" x14ac:dyDescent="0.2">
      <c r="I149" s="1" t="s">
        <v>132</v>
      </c>
      <c r="P149" s="2"/>
    </row>
    <row r="150" spans="1:25" ht="20" x14ac:dyDescent="0.25">
      <c r="A150" s="10">
        <v>2025</v>
      </c>
      <c r="E150" s="4" t="s">
        <v>174</v>
      </c>
      <c r="F150" s="3" t="s">
        <v>176</v>
      </c>
      <c r="G150" s="3"/>
      <c r="I150" s="4" t="s">
        <v>174</v>
      </c>
      <c r="J150" s="3" t="s">
        <v>175</v>
      </c>
      <c r="K150" s="3" t="s">
        <v>180</v>
      </c>
      <c r="L150" s="3"/>
      <c r="M150" s="3"/>
      <c r="N150" s="3"/>
      <c r="O150" s="15">
        <v>2020</v>
      </c>
      <c r="P150" s="4" t="s">
        <v>201</v>
      </c>
      <c r="Q150" s="3" t="s">
        <v>176</v>
      </c>
      <c r="R150" s="3" t="s">
        <v>180</v>
      </c>
      <c r="S150" s="3"/>
      <c r="W150" s="6" t="s">
        <v>201</v>
      </c>
      <c r="X150" t="s">
        <v>202</v>
      </c>
    </row>
    <row r="151" spans="1:25" x14ac:dyDescent="0.2">
      <c r="A151" t="s">
        <v>168</v>
      </c>
      <c r="B151" s="5">
        <v>0.03</v>
      </c>
      <c r="C151" t="s">
        <v>169</v>
      </c>
      <c r="F151">
        <v>100</v>
      </c>
      <c r="J151">
        <v>100</v>
      </c>
      <c r="M151" s="3"/>
      <c r="N151" s="3"/>
      <c r="O151" s="3"/>
      <c r="Q151">
        <v>100</v>
      </c>
      <c r="S151" s="3"/>
      <c r="X151">
        <v>100</v>
      </c>
    </row>
    <row r="152" spans="1:25" x14ac:dyDescent="0.2">
      <c r="A152" t="s">
        <v>168</v>
      </c>
      <c r="B152" s="5">
        <v>2.5000000000000001E-3</v>
      </c>
      <c r="C152" t="s">
        <v>170</v>
      </c>
      <c r="E152" s="11">
        <v>-8.0000000000000004E-4</v>
      </c>
      <c r="F152" s="3">
        <f>100*(1+E152)</f>
        <v>99.92</v>
      </c>
      <c r="G152" s="11">
        <f>E152</f>
        <v>-8.0000000000000004E-4</v>
      </c>
      <c r="I152" s="11">
        <v>-3.5400000000000001E-2</v>
      </c>
      <c r="J152" s="3">
        <f>100*(1+I152)</f>
        <v>96.460000000000008</v>
      </c>
      <c r="K152" s="11">
        <f>I152</f>
        <v>-3.5400000000000001E-2</v>
      </c>
      <c r="L152" s="3"/>
      <c r="M152" s="3"/>
      <c r="N152" s="3"/>
      <c r="O152" s="3" t="s">
        <v>320</v>
      </c>
      <c r="P152" s="5">
        <f>-0.0213</f>
        <v>-2.1299999999999999E-2</v>
      </c>
      <c r="Q152" s="3">
        <f>Q151*(1+P152)</f>
        <v>97.87</v>
      </c>
      <c r="R152" s="11">
        <f>P152</f>
        <v>-2.1299999999999999E-2</v>
      </c>
      <c r="S152" s="3"/>
      <c r="W152" s="5">
        <v>-2.1299999999999999E-2</v>
      </c>
      <c r="X152">
        <f>X151*(1+W152)</f>
        <v>97.87</v>
      </c>
      <c r="Y152" s="5">
        <f>W152</f>
        <v>-2.1299999999999999E-2</v>
      </c>
    </row>
    <row r="153" spans="1:25" x14ac:dyDescent="0.2">
      <c r="B153" s="5"/>
      <c r="E153" s="11">
        <v>9.5999999999999992E-3</v>
      </c>
      <c r="F153" s="3">
        <f>F152*(1+E153)</f>
        <v>100.879232</v>
      </c>
      <c r="G153" s="11">
        <f>E155</f>
        <v>-8.0000000000000002E-3</v>
      </c>
      <c r="I153" s="11">
        <v>1.32E-2</v>
      </c>
      <c r="J153" s="3">
        <f>J152*(1+I153)</f>
        <v>97.733272000000014</v>
      </c>
      <c r="K153" s="11">
        <f>I155</f>
        <v>-7.4000000000000003E-3</v>
      </c>
      <c r="L153" s="3"/>
      <c r="M153" s="3"/>
      <c r="N153" s="3"/>
      <c r="O153" s="3"/>
      <c r="P153" s="11">
        <v>2.8799999999999999E-2</v>
      </c>
      <c r="Q153" s="3">
        <f t="shared" ref="Q153:Q163" si="0">Q152*(1+P153)</f>
        <v>100.68865599999999</v>
      </c>
      <c r="R153" s="11">
        <f>P158</f>
        <v>-0.1047</v>
      </c>
      <c r="S153" s="3"/>
      <c r="W153" s="5">
        <v>4.7199999999999999E-2</v>
      </c>
      <c r="X153">
        <f t="shared" ref="X153:X163" si="1">X152*(1+W153)</f>
        <v>102.489464</v>
      </c>
      <c r="Y153" s="5">
        <f>W158</f>
        <v>-0.1047</v>
      </c>
    </row>
    <row r="154" spans="1:25" x14ac:dyDescent="0.2">
      <c r="B154" s="5"/>
      <c r="E154" s="11">
        <v>1.4E-2</v>
      </c>
      <c r="F154" s="3">
        <f t="shared" ref="F154:F163" si="2">F153*(1+E154)</f>
        <v>102.291541248</v>
      </c>
      <c r="G154" s="11">
        <f>E159</f>
        <v>-2.6499999999999999E-2</v>
      </c>
      <c r="I154" s="11">
        <v>1.4E-2</v>
      </c>
      <c r="J154" s="3">
        <f t="shared" ref="J154:J163" si="3">J153*(1+I154)</f>
        <v>99.101537808000018</v>
      </c>
      <c r="K154" s="11">
        <f>I159</f>
        <v>-2.53E-2</v>
      </c>
      <c r="L154" s="3"/>
      <c r="M154" s="3"/>
      <c r="N154" s="3"/>
      <c r="O154" s="3"/>
      <c r="P154" s="11">
        <v>9.64E-2</v>
      </c>
      <c r="Q154" s="3">
        <f t="shared" si="0"/>
        <v>110.3950424384</v>
      </c>
      <c r="R154" s="11">
        <f>P160</f>
        <v>-4.0000000000000001E-3</v>
      </c>
      <c r="S154" s="3"/>
      <c r="W154" s="5">
        <v>0.18459999999999999</v>
      </c>
      <c r="X154">
        <f t="shared" si="1"/>
        <v>121.40901905440001</v>
      </c>
      <c r="Y154" s="5">
        <f>W161</f>
        <v>-7.4000000000000003E-3</v>
      </c>
    </row>
    <row r="155" spans="1:25" x14ac:dyDescent="0.2">
      <c r="B155" s="5"/>
      <c r="E155" s="11">
        <v>-8.0000000000000002E-3</v>
      </c>
      <c r="F155" s="3">
        <f t="shared" si="2"/>
        <v>101.473208918016</v>
      </c>
      <c r="G155" s="11">
        <f>E162</f>
        <v>-4.7000000000000002E-3</v>
      </c>
      <c r="I155" s="11">
        <v>-7.4000000000000003E-3</v>
      </c>
      <c r="J155" s="3">
        <f t="shared" si="3"/>
        <v>98.368186428220824</v>
      </c>
      <c r="K155" s="11">
        <f>I162</f>
        <v>-3.7000000000000002E-3</v>
      </c>
      <c r="L155" s="3"/>
      <c r="M155" s="3"/>
      <c r="N155" s="3"/>
      <c r="O155" s="3"/>
      <c r="P155" s="11">
        <v>1.21E-2</v>
      </c>
      <c r="Q155" s="3">
        <f t="shared" si="0"/>
        <v>111.73082245190464</v>
      </c>
      <c r="R155" s="11">
        <f>P161</f>
        <v>-9.1000000000000004E-3</v>
      </c>
      <c r="S155" s="3"/>
      <c r="W155" s="5">
        <v>1.7000000000000001E-2</v>
      </c>
      <c r="X155">
        <f t="shared" si="1"/>
        <v>123.4729723783248</v>
      </c>
      <c r="Y155" s="5">
        <f>W162</f>
        <v>-3.9300000000000002E-2</v>
      </c>
    </row>
    <row r="156" spans="1:25" x14ac:dyDescent="0.2">
      <c r="B156" s="5"/>
      <c r="E156" s="11">
        <v>5.0200000000000002E-2</v>
      </c>
      <c r="F156" s="3">
        <f t="shared" si="2"/>
        <v>106.56716400570041</v>
      </c>
      <c r="G156" s="11">
        <f>E163</f>
        <v>-2E-3</v>
      </c>
      <c r="I156" s="11">
        <v>4.3400000000000001E-2</v>
      </c>
      <c r="J156" s="3">
        <f t="shared" si="3"/>
        <v>102.63736571920562</v>
      </c>
      <c r="K156" s="3"/>
      <c r="L156" s="3"/>
      <c r="M156" s="3"/>
      <c r="N156" s="3"/>
      <c r="O156" s="3"/>
      <c r="P156" s="11">
        <v>8.4099999999999994E-2</v>
      </c>
      <c r="Q156" s="3">
        <f t="shared" si="0"/>
        <v>121.12738462010984</v>
      </c>
      <c r="R156" s="11">
        <f>P162</f>
        <v>-3.6900000000000002E-2</v>
      </c>
      <c r="S156" s="3"/>
      <c r="W156" s="5">
        <v>3.04E-2</v>
      </c>
      <c r="X156">
        <f t="shared" si="1"/>
        <v>127.22655073862587</v>
      </c>
    </row>
    <row r="157" spans="1:25" x14ac:dyDescent="0.2">
      <c r="B157" s="5"/>
      <c r="E157" s="11">
        <v>1.8200000000000001E-2</v>
      </c>
      <c r="F157" s="3">
        <f t="shared" si="2"/>
        <v>108.50668639060416</v>
      </c>
      <c r="G157" s="3"/>
      <c r="I157" s="11">
        <v>1.2500000000000001E-2</v>
      </c>
      <c r="J157" s="3">
        <f t="shared" si="3"/>
        <v>103.92033279069568</v>
      </c>
      <c r="K157" s="3"/>
      <c r="L157" s="3"/>
      <c r="M157" s="3"/>
      <c r="N157" s="3"/>
      <c r="O157" s="3"/>
      <c r="P157" s="11">
        <v>1.01E-2</v>
      </c>
      <c r="Q157" s="3">
        <f t="shared" si="0"/>
        <v>122.35077120477294</v>
      </c>
      <c r="R157" s="3"/>
      <c r="S157" s="3"/>
      <c r="W157" s="5">
        <v>1.01E-2</v>
      </c>
      <c r="X157">
        <f t="shared" si="1"/>
        <v>128.511538901086</v>
      </c>
    </row>
    <row r="158" spans="1:25" x14ac:dyDescent="0.2">
      <c r="B158" s="5"/>
      <c r="E158" s="11">
        <v>5.0000000000000001E-3</v>
      </c>
      <c r="F158" s="3">
        <f t="shared" si="2"/>
        <v>109.04921982255716</v>
      </c>
      <c r="G158" s="3"/>
      <c r="I158" s="11">
        <v>6.1999999999999998E-3</v>
      </c>
      <c r="J158" s="3">
        <f t="shared" si="3"/>
        <v>104.56463885399799</v>
      </c>
      <c r="K158" s="3"/>
      <c r="L158" s="3"/>
      <c r="M158" s="3"/>
      <c r="N158" s="3"/>
      <c r="O158" s="3"/>
      <c r="P158" s="11">
        <v>-0.1047</v>
      </c>
      <c r="Q158" s="3">
        <f t="shared" si="0"/>
        <v>109.54064545963321</v>
      </c>
      <c r="R158" s="3"/>
      <c r="S158" s="3"/>
      <c r="W158" s="5">
        <v>-0.1047</v>
      </c>
      <c r="X158">
        <f t="shared" si="1"/>
        <v>115.0563807781423</v>
      </c>
    </row>
    <row r="159" spans="1:25" x14ac:dyDescent="0.2">
      <c r="B159" s="5"/>
      <c r="E159" s="11">
        <v>-2.6499999999999999E-2</v>
      </c>
      <c r="F159" s="3">
        <f t="shared" si="2"/>
        <v>106.1594154972594</v>
      </c>
      <c r="G159" s="3"/>
      <c r="I159" s="11">
        <v>-2.53E-2</v>
      </c>
      <c r="J159" s="3">
        <f t="shared" si="3"/>
        <v>101.91915349099185</v>
      </c>
      <c r="K159" s="3"/>
      <c r="L159" s="3"/>
      <c r="M159" s="3"/>
      <c r="N159" s="3"/>
      <c r="O159" s="3"/>
      <c r="P159" s="11">
        <v>1.7500000000000002E-2</v>
      </c>
      <c r="Q159" s="3">
        <f t="shared" si="0"/>
        <v>111.4576067551768</v>
      </c>
      <c r="R159" s="3"/>
      <c r="S159" s="3"/>
      <c r="W159" s="5">
        <v>1.5100000000000001E-2</v>
      </c>
      <c r="X159">
        <f t="shared" si="1"/>
        <v>116.79373212789224</v>
      </c>
    </row>
    <row r="160" spans="1:25" x14ac:dyDescent="0.2">
      <c r="B160" s="5"/>
      <c r="E160" s="11">
        <v>3.0099999999999998E-2</v>
      </c>
      <c r="F160" s="3">
        <f t="shared" si="2"/>
        <v>109.35481390372691</v>
      </c>
      <c r="G160" s="3"/>
      <c r="I160" s="11">
        <v>4.19E-2</v>
      </c>
      <c r="J160" s="3">
        <f t="shared" si="3"/>
        <v>106.18956602226442</v>
      </c>
      <c r="K160" s="3"/>
      <c r="L160" s="3"/>
      <c r="M160" s="3"/>
      <c r="N160" s="3"/>
      <c r="O160" s="3"/>
      <c r="P160" s="11">
        <v>-4.0000000000000001E-3</v>
      </c>
      <c r="Q160" s="3">
        <f t="shared" si="0"/>
        <v>111.01177632815609</v>
      </c>
      <c r="R160" s="3"/>
      <c r="S160" s="3"/>
      <c r="W160" s="5">
        <v>1E-4</v>
      </c>
      <c r="X160">
        <f t="shared" si="1"/>
        <v>116.80541150110503</v>
      </c>
    </row>
    <row r="161" spans="1:24" x14ac:dyDescent="0.2">
      <c r="E161" s="11">
        <v>1.52E-2</v>
      </c>
      <c r="F161" s="3">
        <f t="shared" si="2"/>
        <v>111.01700707506356</v>
      </c>
      <c r="G161" s="3"/>
      <c r="I161" s="11">
        <v>1.52E-2</v>
      </c>
      <c r="J161" s="3">
        <f t="shared" si="3"/>
        <v>107.80364742580285</v>
      </c>
      <c r="K161" s="3"/>
      <c r="L161" s="3"/>
      <c r="M161" s="3"/>
      <c r="N161" s="3"/>
      <c r="O161" s="3"/>
      <c r="P161" s="11">
        <v>-9.1000000000000004E-3</v>
      </c>
      <c r="Q161" s="3">
        <f t="shared" si="0"/>
        <v>110.00156916356987</v>
      </c>
      <c r="R161" s="3"/>
      <c r="S161" s="3"/>
      <c r="W161" s="5">
        <v>-7.4000000000000003E-3</v>
      </c>
      <c r="X161">
        <f t="shared" si="1"/>
        <v>115.94105145599686</v>
      </c>
    </row>
    <row r="162" spans="1:24" x14ac:dyDescent="0.2">
      <c r="E162" s="11">
        <v>-4.7000000000000002E-3</v>
      </c>
      <c r="F162" s="3">
        <f t="shared" si="2"/>
        <v>110.49522714181076</v>
      </c>
      <c r="G162" s="3"/>
      <c r="I162" s="11">
        <v>-3.7000000000000002E-3</v>
      </c>
      <c r="J162" s="3">
        <f t="shared" si="3"/>
        <v>107.40477393032738</v>
      </c>
      <c r="K162" s="3"/>
      <c r="L162" s="3"/>
      <c r="M162" s="3"/>
      <c r="N162" s="3"/>
      <c r="O162" s="3"/>
      <c r="P162" s="11">
        <v>-3.6900000000000002E-2</v>
      </c>
      <c r="Q162" s="3">
        <f t="shared" si="0"/>
        <v>105.94251126143413</v>
      </c>
      <c r="R162" s="3"/>
      <c r="S162" s="3"/>
      <c r="W162" s="5">
        <v>-3.9300000000000002E-2</v>
      </c>
      <c r="X162">
        <f t="shared" si="1"/>
        <v>111.38456813377618</v>
      </c>
    </row>
    <row r="163" spans="1:24" x14ac:dyDescent="0.2">
      <c r="E163" s="11">
        <v>-2E-3</v>
      </c>
      <c r="F163" s="3">
        <f t="shared" si="2"/>
        <v>110.27423668752714</v>
      </c>
      <c r="G163" s="3"/>
      <c r="I163" s="11">
        <v>4.7999999999999996E-3</v>
      </c>
      <c r="J163" s="3">
        <f t="shared" si="3"/>
        <v>107.92031684519294</v>
      </c>
      <c r="K163" s="3"/>
      <c r="L163" s="3"/>
      <c r="M163" s="3"/>
      <c r="N163" s="3"/>
      <c r="P163" s="11">
        <v>2.7E-2</v>
      </c>
      <c r="Q163" s="3">
        <f t="shared" si="0"/>
        <v>108.80295906549284</v>
      </c>
      <c r="R163" s="3"/>
      <c r="S163" s="3"/>
      <c r="W163" s="5">
        <v>2.7E-2</v>
      </c>
      <c r="X163">
        <f t="shared" si="1"/>
        <v>114.39195147338813</v>
      </c>
    </row>
    <row r="164" spans="1:24" x14ac:dyDescent="0.2">
      <c r="D164" s="8" t="s">
        <v>173</v>
      </c>
      <c r="E164" s="11">
        <f>SUM(E152:E163)</f>
        <v>0.10030000000000001</v>
      </c>
      <c r="F164" s="3" t="s">
        <v>204</v>
      </c>
      <c r="G164" s="3"/>
      <c r="H164" s="8" t="s">
        <v>173</v>
      </c>
      <c r="I164" s="11">
        <f>J163/100 - 1</f>
        <v>7.9203168451929429E-2</v>
      </c>
      <c r="J164" s="3" t="str">
        <f>F164</f>
        <v>per år</v>
      </c>
      <c r="K164" s="3"/>
      <c r="L164" s="3"/>
      <c r="M164" s="3"/>
      <c r="N164" s="3"/>
      <c r="O164" s="8" t="s">
        <v>173</v>
      </c>
      <c r="P164" s="11">
        <f>Q163/100 - 1</f>
        <v>8.8029590654928436E-2</v>
      </c>
      <c r="Q164" s="3" t="str">
        <f>F164</f>
        <v>per år</v>
      </c>
      <c r="R164" s="3"/>
      <c r="S164" s="3"/>
      <c r="V164" s="8" t="s">
        <v>173</v>
      </c>
      <c r="W164" s="5">
        <f>X163/100 -1</f>
        <v>0.14391951473388143</v>
      </c>
      <c r="X164" t="str">
        <f>F164</f>
        <v>per år</v>
      </c>
    </row>
    <row r="165" spans="1:24" x14ac:dyDescent="0.2">
      <c r="D165" s="9" t="s">
        <v>172</v>
      </c>
      <c r="E165" s="11">
        <f>E164/12</f>
        <v>8.3583333333333339E-3</v>
      </c>
      <c r="F165" s="3" t="str">
        <f>X165</f>
        <v>per månad</v>
      </c>
      <c r="G165" s="3"/>
      <c r="H165" s="9" t="s">
        <v>172</v>
      </c>
      <c r="I165" s="12">
        <f>AVERAGE(I152:I163)</f>
        <v>6.6166666666666674E-3</v>
      </c>
      <c r="J165" s="3" t="str">
        <f>X165</f>
        <v>per månad</v>
      </c>
      <c r="K165" s="3"/>
      <c r="L165" s="3"/>
      <c r="M165" s="3"/>
      <c r="N165" s="3"/>
      <c r="O165" s="9" t="s">
        <v>172</v>
      </c>
      <c r="P165" s="11">
        <f>P164/12</f>
        <v>7.3357992212440366E-3</v>
      </c>
      <c r="Q165" s="3" t="str">
        <f>X165</f>
        <v>per månad</v>
      </c>
      <c r="R165" s="3"/>
      <c r="S165" s="3"/>
      <c r="V165" s="9" t="s">
        <v>172</v>
      </c>
      <c r="W165" s="5">
        <f>W164/12</f>
        <v>1.1993292894490118E-2</v>
      </c>
      <c r="X165" t="s">
        <v>203</v>
      </c>
    </row>
    <row r="166" spans="1:24" x14ac:dyDescent="0.2">
      <c r="D166" s="9" t="s">
        <v>181</v>
      </c>
      <c r="E166" s="11">
        <f>_xlfn.STDEV.S(E152:E163)*12^0.5</f>
        <v>6.8139929556758405E-2</v>
      </c>
      <c r="F166" s="3"/>
      <c r="G166" s="3"/>
      <c r="H166" s="9" t="s">
        <v>181</v>
      </c>
      <c r="I166" s="12">
        <f>_xlfn.STDEV.S(I152:I163)*12^0.5</f>
        <v>8.0189661541758731E-2</v>
      </c>
      <c r="J166" s="3"/>
      <c r="K166" s="3"/>
      <c r="L166" s="3"/>
      <c r="M166" s="3"/>
      <c r="N166" s="3"/>
      <c r="O166" s="9" t="s">
        <v>181</v>
      </c>
      <c r="P166" s="11">
        <f>_xlfn.STDEV.S(P152:P163)*12^0.5</f>
        <v>0.18247315120063801</v>
      </c>
      <c r="Q166" s="3"/>
      <c r="R166" s="3"/>
      <c r="S166" s="3"/>
      <c r="V166" s="9" t="s">
        <v>181</v>
      </c>
      <c r="W166" s="5">
        <f>_xlfn.STDEV.S(W152:W163)*12^0.5</f>
        <v>0.23235732670334988</v>
      </c>
    </row>
    <row r="167" spans="1:24" x14ac:dyDescent="0.2">
      <c r="D167" s="4" t="s">
        <v>171</v>
      </c>
      <c r="E167" s="14">
        <f>(E164-B151)/E166</f>
        <v>1.0317005088982714</v>
      </c>
      <c r="F167" s="3"/>
      <c r="G167" s="3"/>
      <c r="H167" s="4" t="s">
        <v>171</v>
      </c>
      <c r="I167" s="13">
        <f>(I164-B151)/I166</f>
        <v>0.61358493733393427</v>
      </c>
      <c r="J167" s="3"/>
      <c r="K167" s="3"/>
      <c r="L167" s="3"/>
      <c r="M167" s="3"/>
      <c r="N167" s="3"/>
      <c r="O167" s="4" t="s">
        <v>171</v>
      </c>
      <c r="P167" s="3">
        <f>(P164-B151)/P166</f>
        <v>0.31801714538881454</v>
      </c>
      <c r="Q167" s="3"/>
      <c r="R167" s="3"/>
      <c r="S167" s="3"/>
      <c r="V167" s="4" t="s">
        <v>171</v>
      </c>
      <c r="W167">
        <f>(W164-B151)/W166</f>
        <v>0.49027726540907501</v>
      </c>
    </row>
    <row r="168" spans="1:24" x14ac:dyDescent="0.2">
      <c r="D168" s="8" t="s">
        <v>178</v>
      </c>
      <c r="E168" s="11">
        <f>_xlfn.STDEV.S(G152:G156)*12^0.5</f>
        <v>3.6339234994699592E-2</v>
      </c>
      <c r="F168" s="3"/>
      <c r="G168" s="3"/>
      <c r="H168" s="8" t="s">
        <v>178</v>
      </c>
      <c r="I168" s="11">
        <f>_xlfn.STDEV.S(K152:K155)*12^0.5</f>
        <v>5.1880246722620732E-2</v>
      </c>
      <c r="J168" s="3"/>
      <c r="K168" s="3"/>
      <c r="L168" s="3"/>
      <c r="M168" s="3"/>
      <c r="N168" s="3"/>
      <c r="O168" s="8" t="s">
        <v>178</v>
      </c>
      <c r="P168" s="11">
        <f>_xlfn.STDEV.S(P152:P163)*12^0.5</f>
        <v>0.18247315120063801</v>
      </c>
      <c r="Q168" s="3"/>
      <c r="R168" s="3"/>
      <c r="S168" s="3"/>
      <c r="V168" s="8" t="s">
        <v>178</v>
      </c>
      <c r="W168" s="5">
        <f>_xlfn.STDEV.S(Y152:Y155)*12^0.5</f>
        <v>0.14911348027592944</v>
      </c>
    </row>
    <row r="169" spans="1:24" x14ac:dyDescent="0.2">
      <c r="D169" s="8" t="s">
        <v>177</v>
      </c>
      <c r="E169" s="14">
        <f>(E164-B151)/E168</f>
        <v>1.9345481546393013</v>
      </c>
      <c r="F169" s="3"/>
      <c r="G169" s="3"/>
      <c r="H169" s="8" t="s">
        <v>177</v>
      </c>
      <c r="I169" s="14">
        <f>(I164-B151)/I168</f>
        <v>0.94839889091113272</v>
      </c>
      <c r="J169" s="3"/>
      <c r="K169" s="3"/>
      <c r="L169" s="3"/>
      <c r="M169" s="3"/>
      <c r="N169" s="3"/>
      <c r="O169" s="8" t="s">
        <v>177</v>
      </c>
      <c r="P169" s="14">
        <f>(P164-B151)/P168</f>
        <v>0.31801714538881454</v>
      </c>
      <c r="Q169" s="3"/>
      <c r="R169" s="3"/>
      <c r="S169" s="3"/>
      <c r="V169" s="8" t="s">
        <v>177</v>
      </c>
      <c r="W169" s="7">
        <f>(W164-B151)/W168</f>
        <v>0.76397864581443087</v>
      </c>
    </row>
    <row r="170" spans="1:24" x14ac:dyDescent="0.2">
      <c r="D170" s="6" t="s">
        <v>179</v>
      </c>
      <c r="E170" s="11">
        <f>E159</f>
        <v>-2.6499999999999999E-2</v>
      </c>
      <c r="F170" s="3"/>
      <c r="G170" s="3"/>
      <c r="H170" s="6" t="s">
        <v>179</v>
      </c>
      <c r="I170" s="11">
        <f>I152</f>
        <v>-3.5400000000000001E-2</v>
      </c>
      <c r="J170" s="3"/>
      <c r="K170" s="3"/>
      <c r="L170" s="3"/>
      <c r="M170" s="3"/>
      <c r="N170" s="3"/>
      <c r="O170" s="6" t="s">
        <v>179</v>
      </c>
      <c r="P170" s="11">
        <f>R153</f>
        <v>-0.1047</v>
      </c>
      <c r="Q170" s="3"/>
      <c r="R170" s="3"/>
      <c r="S170" s="3"/>
      <c r="V170" s="6" t="s">
        <v>179</v>
      </c>
      <c r="W170" s="5">
        <f>W158</f>
        <v>-0.1047</v>
      </c>
    </row>
    <row r="171" spans="1:24" x14ac:dyDescent="0.2">
      <c r="D171" s="6" t="s">
        <v>182</v>
      </c>
      <c r="E171" s="14">
        <f>SUMIF(E152:E163,"&gt;0") / ABS(SUMIF(E152:E163,"&lt;0"))</f>
        <v>3.3880952380952376</v>
      </c>
      <c r="F171" s="3"/>
      <c r="G171" s="3"/>
      <c r="H171" s="6" t="s">
        <v>182</v>
      </c>
      <c r="I171" s="14">
        <f>SUMIF(I152:I163,"&gt;0") / ABS(SUMIF(I152:I163,"&lt;0"))</f>
        <v>2.1058495821727017</v>
      </c>
      <c r="J171" s="3"/>
      <c r="K171" s="3"/>
      <c r="L171" s="3"/>
      <c r="M171" s="3"/>
      <c r="N171" s="3"/>
      <c r="O171" s="6" t="s">
        <v>182</v>
      </c>
      <c r="P171" s="14">
        <f>SUMIF(P152:P163,"&gt;0") / ABS(SUMIF(P152:P163,"&lt;0"))</f>
        <v>1.5681818181818183</v>
      </c>
      <c r="Q171" s="3"/>
      <c r="R171" s="3"/>
      <c r="S171" s="3"/>
      <c r="V171" s="6" t="s">
        <v>182</v>
      </c>
      <c r="W171" s="7">
        <f>SUMIF(W152:W163,"&gt;0") / ABS(SUMIF(W152:W163,"&lt;0"))</f>
        <v>1.9195136074116965</v>
      </c>
    </row>
    <row r="172" spans="1:24" x14ac:dyDescent="0.2">
      <c r="E172" s="3"/>
      <c r="F172" s="3"/>
      <c r="G172" s="3"/>
      <c r="I172" s="3"/>
      <c r="J172" s="3"/>
      <c r="K172" s="3"/>
      <c r="L172" s="3"/>
      <c r="M172" s="3"/>
      <c r="N172" s="3"/>
      <c r="P172" s="3"/>
      <c r="Q172" s="3"/>
      <c r="R172" s="3"/>
      <c r="S172" s="3"/>
    </row>
    <row r="173" spans="1:24" x14ac:dyDescent="0.2">
      <c r="E173" s="3"/>
      <c r="F173" s="3"/>
      <c r="G173" s="3"/>
      <c r="I173" s="3"/>
      <c r="J173" s="3"/>
      <c r="K173" s="3"/>
      <c r="L173" s="3"/>
      <c r="M173" s="3"/>
      <c r="N173" s="3"/>
      <c r="P173" s="3"/>
      <c r="Q173" s="3"/>
      <c r="R173" s="3"/>
      <c r="S173" s="3"/>
    </row>
    <row r="174" spans="1:24" ht="20" x14ac:dyDescent="0.25">
      <c r="A174" s="10"/>
      <c r="I174" s="3"/>
      <c r="P174" s="3"/>
    </row>
    <row r="175" spans="1:24" x14ac:dyDescent="0.2">
      <c r="P175" s="1"/>
    </row>
    <row r="176" spans="1:24" x14ac:dyDescent="0.2">
      <c r="P176" s="1"/>
    </row>
    <row r="177" spans="9:16" x14ac:dyDescent="0.2">
      <c r="P177" s="1"/>
    </row>
    <row r="178" spans="9:16" x14ac:dyDescent="0.2">
      <c r="P178" s="1"/>
    </row>
    <row r="179" spans="9:16" x14ac:dyDescent="0.2">
      <c r="P179" s="1"/>
    </row>
    <row r="180" spans="9:16" x14ac:dyDescent="0.2">
      <c r="P180" s="1"/>
    </row>
    <row r="181" spans="9:16" x14ac:dyDescent="0.2">
      <c r="P181" s="1"/>
    </row>
    <row r="182" spans="9:16" x14ac:dyDescent="0.2">
      <c r="P182" s="2"/>
    </row>
    <row r="183" spans="9:16" x14ac:dyDescent="0.2">
      <c r="P183" s="1"/>
    </row>
    <row r="184" spans="9:16" x14ac:dyDescent="0.2">
      <c r="P184" s="1"/>
    </row>
    <row r="185" spans="9:16" x14ac:dyDescent="0.2">
      <c r="P185" s="1"/>
    </row>
    <row r="186" spans="9:16" x14ac:dyDescent="0.2">
      <c r="P186" s="1"/>
    </row>
    <row r="187" spans="9:16" x14ac:dyDescent="0.2">
      <c r="P187" s="1"/>
    </row>
    <row r="188" spans="9:16" x14ac:dyDescent="0.2">
      <c r="I188" s="16"/>
      <c r="P188" s="1"/>
    </row>
    <row r="189" spans="9:16" x14ac:dyDescent="0.2">
      <c r="I189" s="16"/>
      <c r="P189" s="1"/>
    </row>
    <row r="190" spans="9:16" x14ac:dyDescent="0.2">
      <c r="I190" s="16"/>
      <c r="P190" s="1"/>
    </row>
    <row r="191" spans="9:16" x14ac:dyDescent="0.2">
      <c r="I191" s="16"/>
      <c r="P191" s="1"/>
    </row>
    <row r="192" spans="9:16" x14ac:dyDescent="0.2">
      <c r="I192" s="16"/>
      <c r="P192" s="1"/>
    </row>
    <row r="193" spans="9:16" x14ac:dyDescent="0.2">
      <c r="I193" s="16"/>
      <c r="P193" s="2"/>
    </row>
    <row r="194" spans="9:16" x14ac:dyDescent="0.2">
      <c r="I194" s="16"/>
      <c r="P194" s="1"/>
    </row>
    <row r="195" spans="9:16" x14ac:dyDescent="0.2">
      <c r="I195" s="16"/>
      <c r="P195" s="1"/>
    </row>
    <row r="196" spans="9:16" x14ac:dyDescent="0.2">
      <c r="I196" s="16"/>
      <c r="P196" s="1"/>
    </row>
    <row r="197" spans="9:16" x14ac:dyDescent="0.2">
      <c r="I197" s="16"/>
      <c r="P197" s="1"/>
    </row>
    <row r="198" spans="9:16" x14ac:dyDescent="0.2">
      <c r="I198" s="17"/>
      <c r="P198" s="1"/>
    </row>
    <row r="199" spans="9:16" x14ac:dyDescent="0.2">
      <c r="P199" s="1"/>
    </row>
    <row r="200" spans="9:16" x14ac:dyDescent="0.2">
      <c r="P200" s="1"/>
    </row>
    <row r="201" spans="9:16" x14ac:dyDescent="0.2">
      <c r="P201" s="1"/>
    </row>
    <row r="202" spans="9:16" x14ac:dyDescent="0.2">
      <c r="P202" s="1"/>
    </row>
    <row r="203" spans="9:16" x14ac:dyDescent="0.2">
      <c r="P203" s="1"/>
    </row>
    <row r="204" spans="9:16" x14ac:dyDescent="0.2">
      <c r="P204" s="2"/>
    </row>
    <row r="205" spans="9:16" x14ac:dyDescent="0.2">
      <c r="P205" s="1"/>
    </row>
    <row r="206" spans="9:16" x14ac:dyDescent="0.2">
      <c r="P206" s="1"/>
    </row>
    <row r="207" spans="9:16" x14ac:dyDescent="0.2">
      <c r="P207" s="1"/>
    </row>
    <row r="208" spans="9:16" x14ac:dyDescent="0.2">
      <c r="P208" s="1"/>
    </row>
    <row r="209" spans="16:16" x14ac:dyDescent="0.2">
      <c r="P209" s="1"/>
    </row>
    <row r="210" spans="16:16" x14ac:dyDescent="0.2">
      <c r="P210" s="1"/>
    </row>
    <row r="211" spans="16:16" x14ac:dyDescent="0.2">
      <c r="P211" s="1"/>
    </row>
    <row r="212" spans="16:16" x14ac:dyDescent="0.2">
      <c r="P212" s="1"/>
    </row>
    <row r="213" spans="16:16" x14ac:dyDescent="0.2">
      <c r="P213" s="1"/>
    </row>
    <row r="214" spans="16:16" x14ac:dyDescent="0.2">
      <c r="P214" s="1"/>
    </row>
    <row r="215" spans="16:16" x14ac:dyDescent="0.2">
      <c r="P215" s="2"/>
    </row>
    <row r="216" spans="16:16" x14ac:dyDescent="0.2">
      <c r="P216" s="1"/>
    </row>
    <row r="217" spans="16:16" x14ac:dyDescent="0.2">
      <c r="P217" s="1"/>
    </row>
    <row r="218" spans="16:16" x14ac:dyDescent="0.2">
      <c r="P218" s="1"/>
    </row>
    <row r="219" spans="16:16" x14ac:dyDescent="0.2">
      <c r="P219" s="1"/>
    </row>
    <row r="220" spans="16:16" x14ac:dyDescent="0.2">
      <c r="P220" s="1"/>
    </row>
    <row r="221" spans="16:16" x14ac:dyDescent="0.2">
      <c r="P221" s="1"/>
    </row>
    <row r="222" spans="16:16" x14ac:dyDescent="0.2">
      <c r="P222" s="1"/>
    </row>
    <row r="223" spans="16:16" x14ac:dyDescent="0.2">
      <c r="P223" s="1"/>
    </row>
    <row r="224" spans="16:16" x14ac:dyDescent="0.2">
      <c r="P224" s="1"/>
    </row>
    <row r="225" spans="16:16" x14ac:dyDescent="0.2">
      <c r="P225" s="1"/>
    </row>
    <row r="226" spans="16:16" x14ac:dyDescent="0.2">
      <c r="P226" s="2"/>
    </row>
    <row r="227" spans="16:16" x14ac:dyDescent="0.2">
      <c r="P227" s="1"/>
    </row>
    <row r="228" spans="16:16" x14ac:dyDescent="0.2">
      <c r="P228" s="1"/>
    </row>
    <row r="229" spans="16:16" x14ac:dyDescent="0.2">
      <c r="P229" s="1"/>
    </row>
    <row r="230" spans="16:16" x14ac:dyDescent="0.2">
      <c r="P230" s="1"/>
    </row>
    <row r="231" spans="16:16" x14ac:dyDescent="0.2">
      <c r="P231" s="1"/>
    </row>
    <row r="232" spans="16:16" x14ac:dyDescent="0.2">
      <c r="P232" s="1"/>
    </row>
    <row r="233" spans="16:16" x14ac:dyDescent="0.2">
      <c r="P233" s="1"/>
    </row>
    <row r="234" spans="16:16" x14ac:dyDescent="0.2">
      <c r="P234" s="1"/>
    </row>
    <row r="235" spans="16:16" x14ac:dyDescent="0.2">
      <c r="P235" s="1"/>
    </row>
    <row r="236" spans="16:16" x14ac:dyDescent="0.2">
      <c r="P236" s="1"/>
    </row>
    <row r="237" spans="16:16" x14ac:dyDescent="0.2">
      <c r="P237" s="2"/>
    </row>
    <row r="238" spans="16:16" x14ac:dyDescent="0.2">
      <c r="P238" s="1"/>
    </row>
    <row r="239" spans="16:16" x14ac:dyDescent="0.2">
      <c r="P239" s="1"/>
    </row>
    <row r="240" spans="16:16" x14ac:dyDescent="0.2">
      <c r="P240" s="1"/>
    </row>
    <row r="241" spans="16:16" x14ac:dyDescent="0.2">
      <c r="P241" s="1"/>
    </row>
    <row r="242" spans="16:16" x14ac:dyDescent="0.2">
      <c r="P242" s="1"/>
    </row>
    <row r="243" spans="16:16" x14ac:dyDescent="0.2">
      <c r="P243" s="1"/>
    </row>
    <row r="244" spans="16:16" x14ac:dyDescent="0.2">
      <c r="P244" s="1"/>
    </row>
    <row r="245" spans="16:16" x14ac:dyDescent="0.2">
      <c r="P245" s="1"/>
    </row>
    <row r="246" spans="16:16" x14ac:dyDescent="0.2">
      <c r="P246" s="1"/>
    </row>
    <row r="247" spans="16:16" x14ac:dyDescent="0.2">
      <c r="P247" s="1"/>
    </row>
    <row r="248" spans="16:16" x14ac:dyDescent="0.2">
      <c r="P248" s="2"/>
    </row>
    <row r="249" spans="16:16" x14ac:dyDescent="0.2">
      <c r="P249" s="1"/>
    </row>
    <row r="250" spans="16:16" x14ac:dyDescent="0.2">
      <c r="P250" s="1"/>
    </row>
    <row r="251" spans="16:16" x14ac:dyDescent="0.2">
      <c r="P251" s="1"/>
    </row>
    <row r="252" spans="16:16" x14ac:dyDescent="0.2">
      <c r="P252" s="1"/>
    </row>
    <row r="253" spans="16:16" x14ac:dyDescent="0.2">
      <c r="P253" s="1"/>
    </row>
    <row r="254" spans="16:16" x14ac:dyDescent="0.2">
      <c r="P254" s="1"/>
    </row>
    <row r="255" spans="16:16" x14ac:dyDescent="0.2">
      <c r="P255" s="1"/>
    </row>
    <row r="256" spans="16:16" x14ac:dyDescent="0.2">
      <c r="P256" s="1"/>
    </row>
    <row r="257" spans="16:16" x14ac:dyDescent="0.2">
      <c r="P257" s="1"/>
    </row>
    <row r="258" spans="16:16" x14ac:dyDescent="0.2">
      <c r="P258" s="1"/>
    </row>
    <row r="259" spans="16:16" x14ac:dyDescent="0.2">
      <c r="P259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5086-D614-1446-A0DB-9B192FD7977C}">
  <dimension ref="B1:CH148"/>
  <sheetViews>
    <sheetView topLeftCell="BW1" workbookViewId="0">
      <selection activeCell="CF21" sqref="CF15:CF21"/>
    </sheetView>
  </sheetViews>
  <sheetFormatPr baseColWidth="10" defaultRowHeight="16" x14ac:dyDescent="0.2"/>
  <cols>
    <col min="8" max="8" width="13.6640625" bestFit="1" customWidth="1"/>
    <col min="9" max="9" width="14.1640625" bestFit="1" customWidth="1"/>
    <col min="19" max="19" width="13.6640625" bestFit="1" customWidth="1"/>
    <col min="20" max="20" width="14.1640625" bestFit="1" customWidth="1"/>
    <col min="54" max="54" width="14.6640625" bestFit="1" customWidth="1"/>
  </cols>
  <sheetData>
    <row r="1" spans="2:86" x14ac:dyDescent="0.2">
      <c r="B1">
        <v>0.1</v>
      </c>
      <c r="H1" t="s">
        <v>168</v>
      </c>
      <c r="I1" s="5">
        <v>0.03</v>
      </c>
      <c r="X1" s="20" t="s">
        <v>3035</v>
      </c>
      <c r="Y1" s="20"/>
      <c r="AU1" s="20" t="s">
        <v>2648</v>
      </c>
      <c r="BO1" s="20" t="s">
        <v>2875</v>
      </c>
    </row>
    <row r="2" spans="2:86" x14ac:dyDescent="0.2">
      <c r="B2" s="2" t="s">
        <v>1902</v>
      </c>
      <c r="H2" t="s">
        <v>473</v>
      </c>
      <c r="I2">
        <v>100</v>
      </c>
      <c r="X2" s="1" t="s">
        <v>2489</v>
      </c>
      <c r="AE2" t="s">
        <v>1436</v>
      </c>
      <c r="AF2" s="6" t="s">
        <v>471</v>
      </c>
      <c r="AH2" t="s">
        <v>180</v>
      </c>
      <c r="AJ2" s="1" t="s">
        <v>2502</v>
      </c>
      <c r="AR2" s="6" t="s">
        <v>471</v>
      </c>
      <c r="AT2" t="s">
        <v>180</v>
      </c>
      <c r="AU2" s="1" t="s">
        <v>2667</v>
      </c>
      <c r="BA2" t="s">
        <v>1436</v>
      </c>
      <c r="BB2" s="6" t="s">
        <v>471</v>
      </c>
      <c r="BC2" t="s">
        <v>661</v>
      </c>
      <c r="BD2" t="s">
        <v>180</v>
      </c>
      <c r="BE2" s="1" t="s">
        <v>2668</v>
      </c>
      <c r="BL2" s="6" t="s">
        <v>471</v>
      </c>
      <c r="BN2" t="s">
        <v>180</v>
      </c>
      <c r="BO2" s="1" t="s">
        <v>2876</v>
      </c>
      <c r="BV2" s="6" t="s">
        <v>471</v>
      </c>
      <c r="BX2" t="s">
        <v>180</v>
      </c>
      <c r="BY2" s="1" t="s">
        <v>2893</v>
      </c>
      <c r="CF2" s="6" t="s">
        <v>471</v>
      </c>
      <c r="CH2" t="s">
        <v>180</v>
      </c>
    </row>
    <row r="3" spans="2:86" x14ac:dyDescent="0.2">
      <c r="B3" s="1" t="s">
        <v>1903</v>
      </c>
      <c r="H3" t="s">
        <v>1436</v>
      </c>
      <c r="I3" s="6" t="s">
        <v>471</v>
      </c>
      <c r="K3" t="s">
        <v>180</v>
      </c>
      <c r="M3" s="1" t="s">
        <v>475</v>
      </c>
      <c r="S3" t="s">
        <v>1437</v>
      </c>
      <c r="T3" t="s">
        <v>471</v>
      </c>
      <c r="V3" t="s">
        <v>180</v>
      </c>
      <c r="X3" s="1" t="s">
        <v>2076</v>
      </c>
      <c r="AF3" s="19">
        <v>1.15E-2</v>
      </c>
      <c r="AG3">
        <f>$I$2*(1+AF3)</f>
        <v>101.15</v>
      </c>
      <c r="AH3" s="5">
        <f>AF5</f>
        <v>-4.0000000000000002E-4</v>
      </c>
      <c r="AJ3" s="1" t="s">
        <v>360</v>
      </c>
      <c r="AR3" s="19">
        <v>1.2999999999999999E-2</v>
      </c>
      <c r="AS3">
        <f>$I$2*(1+AR3)</f>
        <v>101.29999999999998</v>
      </c>
      <c r="AT3" s="5"/>
      <c r="AU3" s="2" t="s">
        <v>2649</v>
      </c>
      <c r="BB3" s="19">
        <v>1E-4</v>
      </c>
      <c r="BC3">
        <f>$I$2*(1+BB3)</f>
        <v>100.01</v>
      </c>
      <c r="BD3" s="5"/>
      <c r="BE3" s="2" t="s">
        <v>2649</v>
      </c>
      <c r="BL3" s="19">
        <v>1.2999999999999999E-2</v>
      </c>
      <c r="BM3">
        <f>$I$2*(1+BL3)</f>
        <v>101.29999999999998</v>
      </c>
      <c r="BN3" s="5"/>
      <c r="BO3" s="2" t="s">
        <v>2877</v>
      </c>
      <c r="BV3" s="19">
        <v>-2.0299999999999999E-2</v>
      </c>
      <c r="BW3">
        <f>$I$2*(1+BV3)</f>
        <v>97.97</v>
      </c>
      <c r="BX3" s="5">
        <f>BV3</f>
        <v>-2.0299999999999999E-2</v>
      </c>
      <c r="BY3" s="2" t="s">
        <v>2877</v>
      </c>
      <c r="CF3" s="19">
        <v>1.17E-2</v>
      </c>
      <c r="CG3">
        <f>$I$2*(1+CF3)</f>
        <v>101.17</v>
      </c>
      <c r="CH3" s="5"/>
    </row>
    <row r="4" spans="2:86" x14ac:dyDescent="0.2">
      <c r="B4" s="2" t="s">
        <v>3036</v>
      </c>
      <c r="I4" s="19">
        <v>1.8499999999999999E-2</v>
      </c>
      <c r="J4">
        <f>$I$2*(1+I4)</f>
        <v>101.85</v>
      </c>
      <c r="K4" s="5">
        <f>I6</f>
        <v>1E-3</v>
      </c>
      <c r="M4" s="2" t="s">
        <v>476</v>
      </c>
      <c r="T4" s="19">
        <v>1.2999999999999999E-2</v>
      </c>
      <c r="U4">
        <f>$I$2*(1+T4)</f>
        <v>101.29999999999998</v>
      </c>
      <c r="V4" s="5">
        <f>T6</f>
        <v>-3.5000000000000001E-3</v>
      </c>
      <c r="X4" s="1" t="s">
        <v>360</v>
      </c>
      <c r="AF4" s="19">
        <v>0.01</v>
      </c>
      <c r="AG4">
        <f>AG3*(AF4+1)</f>
        <v>102.1615</v>
      </c>
      <c r="AH4" s="5">
        <f>AF8</f>
        <v>-3.3999999999999998E-3</v>
      </c>
      <c r="AJ4" s="1" t="s">
        <v>361</v>
      </c>
      <c r="AR4" s="19">
        <v>0.01</v>
      </c>
      <c r="AS4">
        <f>AS3*(AR4+1)</f>
        <v>102.31299999999999</v>
      </c>
      <c r="AT4" s="5">
        <f>AR5</f>
        <v>-3.2000000000000002E-3</v>
      </c>
      <c r="AU4" s="1" t="s">
        <v>360</v>
      </c>
      <c r="BB4" s="19">
        <v>9.5999999999999992E-3</v>
      </c>
      <c r="BC4">
        <f>BC3*(BB4+1)</f>
        <v>100.97009600000001</v>
      </c>
      <c r="BD4" s="5">
        <f>BB5</f>
        <v>-8.9999999999999998E-4</v>
      </c>
      <c r="BE4" s="1" t="s">
        <v>360</v>
      </c>
      <c r="BL4" s="19">
        <v>0.01</v>
      </c>
      <c r="BM4">
        <f>BM3*(BL4+1)</f>
        <v>102.31299999999999</v>
      </c>
      <c r="BN4" s="5">
        <f>BL5</f>
        <v>-3.2000000000000002E-3</v>
      </c>
      <c r="BO4" s="1" t="s">
        <v>2076</v>
      </c>
      <c r="BV4" s="19">
        <v>6.8999999999999999E-3</v>
      </c>
      <c r="BW4">
        <f>BW3*(BV4+1)</f>
        <v>98.64599299999999</v>
      </c>
      <c r="BX4" s="5">
        <f>BV5</f>
        <v>-8.0000000000000004E-4</v>
      </c>
      <c r="BY4" s="1" t="s">
        <v>360</v>
      </c>
      <c r="CF4" s="19">
        <v>0.01</v>
      </c>
      <c r="CG4">
        <f>CG3*(CF4+1)</f>
        <v>102.18170000000001</v>
      </c>
      <c r="CH4" s="5">
        <f>CF5</f>
        <v>-3.2000000000000002E-3</v>
      </c>
    </row>
    <row r="5" spans="2:86" x14ac:dyDescent="0.2">
      <c r="B5" s="1" t="s">
        <v>365</v>
      </c>
      <c r="I5" s="19">
        <v>4.8999999999999998E-3</v>
      </c>
      <c r="J5">
        <f>J4*(I5+1)</f>
        <v>102.34906499999998</v>
      </c>
      <c r="K5" s="5">
        <f>I9</f>
        <v>-3.3999999999999998E-3</v>
      </c>
      <c r="M5" s="1" t="s">
        <v>360</v>
      </c>
      <c r="T5" s="19">
        <v>0.01</v>
      </c>
      <c r="U5">
        <f>U4*(T5+1)</f>
        <v>102.31299999999999</v>
      </c>
      <c r="V5" s="5">
        <f>T9</f>
        <v>-1.2E-2</v>
      </c>
      <c r="X5" s="1" t="s">
        <v>362</v>
      </c>
      <c r="AF5" s="19">
        <v>-4.0000000000000002E-4</v>
      </c>
      <c r="AG5">
        <f t="shared" ref="AG5:AG14" si="0">AG4*(AF5+1)</f>
        <v>102.12063540000001</v>
      </c>
      <c r="AH5" s="5">
        <f>AF11</f>
        <v>-1.0800000000000001E-2</v>
      </c>
      <c r="AJ5" s="1" t="s">
        <v>477</v>
      </c>
      <c r="AR5" s="19">
        <v>-3.2000000000000002E-3</v>
      </c>
      <c r="AS5">
        <f t="shared" ref="AS5:AS14" si="1">AS4*(AR5+1)</f>
        <v>101.98559839999999</v>
      </c>
      <c r="AT5" s="5">
        <f>AR8</f>
        <v>-1.4E-2</v>
      </c>
      <c r="AU5" s="1" t="s">
        <v>362</v>
      </c>
      <c r="BB5" s="19">
        <v>-8.9999999999999998E-4</v>
      </c>
      <c r="BC5">
        <f t="shared" ref="BC5:BC14" si="2">BC4*(BB5+1)</f>
        <v>100.87922291360002</v>
      </c>
      <c r="BD5" s="5">
        <f>BB8</f>
        <v>-3.3999999999999998E-3</v>
      </c>
      <c r="BE5" s="1" t="s">
        <v>361</v>
      </c>
      <c r="BL5" s="19">
        <v>-3.2000000000000002E-3</v>
      </c>
      <c r="BM5">
        <f t="shared" ref="BM5:BM14" si="3">BM4*(BL5+1)</f>
        <v>101.98559839999999</v>
      </c>
      <c r="BN5" s="5">
        <f>BL8</f>
        <v>-1.4E-2</v>
      </c>
      <c r="BO5" s="1" t="s">
        <v>360</v>
      </c>
      <c r="BV5" s="19">
        <v>-8.0000000000000004E-4</v>
      </c>
      <c r="BW5">
        <f t="shared" ref="BW5:BW14" si="4">BW4*(BV5+1)</f>
        <v>98.567076205599989</v>
      </c>
      <c r="BX5" s="5">
        <f>BV8</f>
        <v>-3.3999999999999998E-3</v>
      </c>
      <c r="BY5" s="1" t="s">
        <v>361</v>
      </c>
      <c r="CF5" s="19">
        <v>-3.2000000000000002E-3</v>
      </c>
      <c r="CG5">
        <f t="shared" ref="CG5:CG14" si="5">CG4*(CF5+1)</f>
        <v>101.85471856000001</v>
      </c>
      <c r="CH5" s="5">
        <f>CF8</f>
        <v>-1.4E-2</v>
      </c>
    </row>
    <row r="6" spans="2:86" x14ac:dyDescent="0.2">
      <c r="B6" s="1" t="s">
        <v>360</v>
      </c>
      <c r="I6" s="19">
        <v>1E-3</v>
      </c>
      <c r="J6">
        <f t="shared" ref="J6:J15" si="6">J5*(I6+1)</f>
        <v>102.45141406499997</v>
      </c>
      <c r="K6" s="5">
        <f>I10</f>
        <v>1.1299999999999999E-2</v>
      </c>
      <c r="M6" s="1" t="s">
        <v>361</v>
      </c>
      <c r="T6" s="19">
        <v>-3.5000000000000001E-3</v>
      </c>
      <c r="U6">
        <f t="shared" ref="U6:U15" si="7">U5*(T6+1)</f>
        <v>101.9549045</v>
      </c>
      <c r="V6" s="5">
        <f>T10</f>
        <v>5.4999999999999997E-3</v>
      </c>
      <c r="X6" s="1" t="s">
        <v>2075</v>
      </c>
      <c r="AF6" s="19">
        <v>7.7999999999999996E-3</v>
      </c>
      <c r="AG6">
        <f t="shared" si="0"/>
        <v>102.91717635612001</v>
      </c>
      <c r="AH6" s="5">
        <f>AF12</f>
        <v>-1.2699999999999999E-2</v>
      </c>
      <c r="AJ6" s="1" t="s">
        <v>364</v>
      </c>
      <c r="AR6" s="19">
        <v>1.52E-2</v>
      </c>
      <c r="AS6">
        <f t="shared" si="1"/>
        <v>103.53577949568</v>
      </c>
      <c r="AT6" s="5">
        <f>AR11</f>
        <v>-1.21E-2</v>
      </c>
      <c r="AU6" s="1" t="s">
        <v>2076</v>
      </c>
      <c r="BB6" s="19">
        <v>7.7999999999999996E-3</v>
      </c>
      <c r="BC6">
        <f t="shared" si="2"/>
        <v>101.6660808523261</v>
      </c>
      <c r="BD6" s="5">
        <f>BB11</f>
        <v>-1.0800000000000001E-2</v>
      </c>
      <c r="BE6" s="1" t="s">
        <v>477</v>
      </c>
      <c r="BL6" s="19">
        <v>1.52E-2</v>
      </c>
      <c r="BM6">
        <f t="shared" si="3"/>
        <v>103.53577949568</v>
      </c>
      <c r="BN6" s="5">
        <f>BL11</f>
        <v>-1.21E-2</v>
      </c>
      <c r="BO6" s="1" t="s">
        <v>362</v>
      </c>
      <c r="BV6" s="19">
        <v>6.6E-3</v>
      </c>
      <c r="BW6">
        <f t="shared" si="4"/>
        <v>99.217618908556943</v>
      </c>
      <c r="BX6" s="5">
        <f>BV11</f>
        <v>-1.0800000000000001E-2</v>
      </c>
      <c r="BY6" s="1" t="s">
        <v>477</v>
      </c>
      <c r="CF6" s="19">
        <v>1.52E-2</v>
      </c>
      <c r="CG6">
        <f t="shared" si="5"/>
        <v>103.40291028211202</v>
      </c>
      <c r="CH6" s="5">
        <f>CF11</f>
        <v>-1.54E-2</v>
      </c>
    </row>
    <row r="7" spans="2:86" x14ac:dyDescent="0.2">
      <c r="B7" s="1" t="s">
        <v>362</v>
      </c>
      <c r="I7" s="19">
        <v>7.7999999999999996E-3</v>
      </c>
      <c r="J7">
        <f t="shared" si="6"/>
        <v>103.25053509470698</v>
      </c>
      <c r="K7" s="5">
        <f>I12</f>
        <v>-1.0800000000000001E-2</v>
      </c>
      <c r="M7" s="1" t="s">
        <v>477</v>
      </c>
      <c r="T7" s="19">
        <v>1.7299999999999999E-2</v>
      </c>
      <c r="U7">
        <f t="shared" si="7"/>
        <v>103.71872434785001</v>
      </c>
      <c r="V7" s="5">
        <f>T12</f>
        <v>-1.12E-2</v>
      </c>
      <c r="X7" s="1" t="s">
        <v>363</v>
      </c>
      <c r="AF7" s="19">
        <v>6.8999999999999999E-3</v>
      </c>
      <c r="AG7">
        <f t="shared" si="0"/>
        <v>103.62730487297723</v>
      </c>
      <c r="AJ7" s="1" t="s">
        <v>361</v>
      </c>
      <c r="AR7" s="19">
        <v>3.0000000000000001E-3</v>
      </c>
      <c r="AS7">
        <f t="shared" si="1"/>
        <v>103.84638683416703</v>
      </c>
      <c r="AT7" s="5">
        <f>AR12</f>
        <v>-2.3999999999999998E-3</v>
      </c>
      <c r="AU7" s="1" t="s">
        <v>365</v>
      </c>
      <c r="BB7" s="19">
        <v>1.0500000000000001E-2</v>
      </c>
      <c r="BC7">
        <f t="shared" si="2"/>
        <v>102.73357470127553</v>
      </c>
      <c r="BD7" s="5">
        <f>BB12</f>
        <v>-7.4000000000000003E-3</v>
      </c>
      <c r="BE7" s="1" t="s">
        <v>364</v>
      </c>
      <c r="BL7" s="19">
        <v>3.0000000000000001E-3</v>
      </c>
      <c r="BM7">
        <f t="shared" si="3"/>
        <v>103.84638683416703</v>
      </c>
      <c r="BN7" s="5">
        <f>BL12</f>
        <v>-2.3999999999999998E-3</v>
      </c>
      <c r="BO7" s="1" t="s">
        <v>363</v>
      </c>
      <c r="BV7" s="19">
        <v>7.4000000000000003E-3</v>
      </c>
      <c r="BW7">
        <f t="shared" si="4"/>
        <v>99.951829288480269</v>
      </c>
      <c r="BX7" s="5">
        <f>BV12</f>
        <v>-1.0800000000000001E-2</v>
      </c>
      <c r="BY7" s="1" t="s">
        <v>364</v>
      </c>
      <c r="CF7" s="19">
        <v>3.0000000000000001E-3</v>
      </c>
      <c r="CG7">
        <f t="shared" si="5"/>
        <v>103.71311901295834</v>
      </c>
      <c r="CH7" s="5">
        <f>CF12</f>
        <v>-2.3999999999999998E-3</v>
      </c>
    </row>
    <row r="8" spans="2:86" x14ac:dyDescent="0.2">
      <c r="B8" s="1" t="s">
        <v>2075</v>
      </c>
      <c r="I8" s="19">
        <v>1.1599999999999999E-2</v>
      </c>
      <c r="J8">
        <f t="shared" si="6"/>
        <v>104.44824130180558</v>
      </c>
      <c r="K8" s="5">
        <f>I13</f>
        <v>-7.7999999999999996E-3</v>
      </c>
      <c r="M8" s="1" t="s">
        <v>364</v>
      </c>
      <c r="T8" s="19">
        <v>3.0000000000000001E-3</v>
      </c>
      <c r="U8">
        <f t="shared" si="7"/>
        <v>104.02988052089356</v>
      </c>
      <c r="V8" s="5">
        <f>T13</f>
        <v>-2.3999999999999998E-3</v>
      </c>
      <c r="X8" s="1" t="s">
        <v>365</v>
      </c>
      <c r="AF8" s="19">
        <v>-3.3999999999999998E-3</v>
      </c>
      <c r="AG8">
        <f t="shared" si="0"/>
        <v>103.27497203640911</v>
      </c>
      <c r="AH8" s="5"/>
      <c r="AJ8" s="1" t="s">
        <v>363</v>
      </c>
      <c r="AR8" s="19">
        <v>-1.4E-2</v>
      </c>
      <c r="AS8">
        <f t="shared" si="1"/>
        <v>102.3925374184887</v>
      </c>
      <c r="AT8" s="5"/>
      <c r="AU8" s="1" t="s">
        <v>2075</v>
      </c>
      <c r="BB8" s="19">
        <v>-3.3999999999999998E-3</v>
      </c>
      <c r="BC8">
        <f t="shared" si="2"/>
        <v>102.3842805472912</v>
      </c>
      <c r="BD8" s="5"/>
      <c r="BE8" s="1" t="s">
        <v>361</v>
      </c>
      <c r="BL8" s="19">
        <v>-1.4E-2</v>
      </c>
      <c r="BM8">
        <f t="shared" si="3"/>
        <v>102.3925374184887</v>
      </c>
      <c r="BN8" s="5"/>
      <c r="BO8" s="1" t="s">
        <v>2075</v>
      </c>
      <c r="BV8" s="19">
        <v>-3.3999999999999998E-3</v>
      </c>
      <c r="BW8">
        <f t="shared" si="4"/>
        <v>99.611993068899437</v>
      </c>
      <c r="BX8" s="5"/>
      <c r="BY8" s="1" t="s">
        <v>363</v>
      </c>
      <c r="CF8" s="19">
        <v>-1.4E-2</v>
      </c>
      <c r="CG8">
        <f t="shared" si="5"/>
        <v>102.26113534677692</v>
      </c>
      <c r="CH8" s="5"/>
    </row>
    <row r="9" spans="2:86" x14ac:dyDescent="0.2">
      <c r="B9" s="1" t="s">
        <v>2076</v>
      </c>
      <c r="I9" s="19">
        <v>-3.3999999999999998E-3</v>
      </c>
      <c r="J9">
        <f t="shared" si="6"/>
        <v>104.09311728137945</v>
      </c>
      <c r="K9" s="5">
        <f>I14</f>
        <v>4.5999999999999999E-3</v>
      </c>
      <c r="M9" s="1" t="s">
        <v>361</v>
      </c>
      <c r="T9" s="19">
        <v>-1.2E-2</v>
      </c>
      <c r="U9">
        <f t="shared" si="7"/>
        <v>102.78152195464283</v>
      </c>
      <c r="V9" s="5">
        <f>T14</f>
        <v>2.9999999999999997E-4</v>
      </c>
      <c r="X9" s="1" t="s">
        <v>2079</v>
      </c>
      <c r="AF9" s="19">
        <v>1.2999999999999999E-2</v>
      </c>
      <c r="AG9">
        <f t="shared" si="0"/>
        <v>104.61754667288241</v>
      </c>
      <c r="AJ9" s="1" t="s">
        <v>362</v>
      </c>
      <c r="AR9" s="19">
        <v>5.4999999999999997E-3</v>
      </c>
      <c r="AS9">
        <f t="shared" si="1"/>
        <v>102.9556963742904</v>
      </c>
      <c r="AU9" s="1" t="s">
        <v>363</v>
      </c>
      <c r="BB9" s="19">
        <v>9.5999999999999992E-3</v>
      </c>
      <c r="BC9">
        <f t="shared" si="2"/>
        <v>103.3671696405452</v>
      </c>
      <c r="BE9" s="1" t="s">
        <v>363</v>
      </c>
      <c r="BL9" s="19">
        <v>5.4999999999999997E-3</v>
      </c>
      <c r="BM9">
        <f t="shared" si="3"/>
        <v>102.9556963742904</v>
      </c>
      <c r="BO9" s="1" t="s">
        <v>365</v>
      </c>
      <c r="BV9" s="19">
        <v>1.23E-2</v>
      </c>
      <c r="BW9">
        <f t="shared" si="4"/>
        <v>100.8372205836469</v>
      </c>
      <c r="BY9" s="1" t="s">
        <v>362</v>
      </c>
      <c r="CF9" s="19">
        <v>5.4999999999999997E-3</v>
      </c>
      <c r="CG9">
        <f t="shared" si="5"/>
        <v>102.8235715911842</v>
      </c>
    </row>
    <row r="10" spans="2:86" x14ac:dyDescent="0.2">
      <c r="B10" s="1" t="s">
        <v>363</v>
      </c>
      <c r="I10" s="19">
        <v>1.1299999999999999E-2</v>
      </c>
      <c r="J10">
        <f t="shared" si="6"/>
        <v>105.26936950665905</v>
      </c>
      <c r="M10" s="1" t="s">
        <v>363</v>
      </c>
      <c r="T10" s="19">
        <v>5.4999999999999997E-3</v>
      </c>
      <c r="U10">
        <f t="shared" si="7"/>
        <v>103.34682032539337</v>
      </c>
      <c r="X10" s="1" t="s">
        <v>2077</v>
      </c>
      <c r="AF10" s="19">
        <v>5.5999999999999999E-3</v>
      </c>
      <c r="AG10">
        <f t="shared" si="0"/>
        <v>105.20340493425056</v>
      </c>
      <c r="AJ10" s="1" t="s">
        <v>478</v>
      </c>
      <c r="AR10" s="19">
        <v>2.07E-2</v>
      </c>
      <c r="AS10">
        <f t="shared" si="1"/>
        <v>105.0868792892382</v>
      </c>
      <c r="AU10" s="1" t="s">
        <v>2650</v>
      </c>
      <c r="BB10" s="19">
        <v>5.5999999999999999E-3</v>
      </c>
      <c r="BC10">
        <f t="shared" si="2"/>
        <v>103.94602579053226</v>
      </c>
      <c r="BE10" s="1" t="s">
        <v>362</v>
      </c>
      <c r="BL10" s="19">
        <v>2.07E-2</v>
      </c>
      <c r="BM10">
        <f t="shared" si="3"/>
        <v>105.0868792892382</v>
      </c>
      <c r="BO10" s="1" t="s">
        <v>2115</v>
      </c>
      <c r="BV10" s="19">
        <v>5.5999999999999999E-3</v>
      </c>
      <c r="BW10">
        <f t="shared" si="4"/>
        <v>101.40190901891532</v>
      </c>
      <c r="BY10" s="1" t="s">
        <v>478</v>
      </c>
      <c r="CF10" s="19">
        <v>2.1299999999999999E-2</v>
      </c>
      <c r="CG10">
        <f t="shared" si="5"/>
        <v>105.01371366607644</v>
      </c>
    </row>
    <row r="11" spans="2:86" x14ac:dyDescent="0.2">
      <c r="B11" s="1" t="s">
        <v>3037</v>
      </c>
      <c r="I11" s="19">
        <v>5.5999999999999999E-3</v>
      </c>
      <c r="J11">
        <f t="shared" si="6"/>
        <v>105.85887797589635</v>
      </c>
      <c r="M11" s="1" t="s">
        <v>362</v>
      </c>
      <c r="T11" s="19">
        <v>2.07E-2</v>
      </c>
      <c r="U11">
        <f t="shared" si="7"/>
        <v>105.48609950612901</v>
      </c>
      <c r="X11" s="1" t="s">
        <v>2078</v>
      </c>
      <c r="AF11" s="19">
        <v>-1.0800000000000001E-2</v>
      </c>
      <c r="AG11">
        <f t="shared" si="0"/>
        <v>104.06720816096065</v>
      </c>
      <c r="AJ11" s="1" t="s">
        <v>479</v>
      </c>
      <c r="AR11" s="19">
        <v>-1.21E-2</v>
      </c>
      <c r="AS11">
        <f t="shared" si="1"/>
        <v>103.81532804983841</v>
      </c>
      <c r="AU11" s="1" t="s">
        <v>2651</v>
      </c>
      <c r="BB11" s="19">
        <v>-1.0800000000000001E-2</v>
      </c>
      <c r="BC11">
        <f t="shared" si="2"/>
        <v>102.8234087119945</v>
      </c>
      <c r="BE11" s="1" t="s">
        <v>478</v>
      </c>
      <c r="BL11" s="19">
        <v>-1.21E-2</v>
      </c>
      <c r="BM11">
        <f t="shared" si="3"/>
        <v>103.81532804983841</v>
      </c>
      <c r="BO11" s="1" t="s">
        <v>366</v>
      </c>
      <c r="BV11" s="19">
        <v>-1.0800000000000001E-2</v>
      </c>
      <c r="BW11">
        <f t="shared" si="4"/>
        <v>100.30676840151104</v>
      </c>
      <c r="BY11" s="1" t="s">
        <v>479</v>
      </c>
      <c r="CF11" s="19">
        <v>-1.54E-2</v>
      </c>
      <c r="CG11">
        <f t="shared" si="5"/>
        <v>103.39650247561887</v>
      </c>
    </row>
    <row r="12" spans="2:86" x14ac:dyDescent="0.2">
      <c r="B12" s="1" t="s">
        <v>2079</v>
      </c>
      <c r="I12" s="19">
        <v>-1.0800000000000001E-2</v>
      </c>
      <c r="J12">
        <f t="shared" si="6"/>
        <v>104.71560209375666</v>
      </c>
      <c r="M12" s="1" t="s">
        <v>478</v>
      </c>
      <c r="T12" s="19">
        <v>-1.12E-2</v>
      </c>
      <c r="U12">
        <f t="shared" si="7"/>
        <v>104.30465519166036</v>
      </c>
      <c r="X12" s="1" t="s">
        <v>478</v>
      </c>
      <c r="AF12" s="19">
        <v>-1.2699999999999999E-2</v>
      </c>
      <c r="AG12">
        <f t="shared" si="0"/>
        <v>102.74555461731644</v>
      </c>
      <c r="AJ12" s="1" t="s">
        <v>365</v>
      </c>
      <c r="AR12" s="19">
        <v>-2.3999999999999998E-3</v>
      </c>
      <c r="AS12">
        <f t="shared" si="1"/>
        <v>103.56617126251881</v>
      </c>
      <c r="AU12" s="1" t="s">
        <v>366</v>
      </c>
      <c r="BB12" s="19">
        <v>-7.4000000000000003E-3</v>
      </c>
      <c r="BC12">
        <f t="shared" si="2"/>
        <v>102.06251548752574</v>
      </c>
      <c r="BE12" s="1" t="s">
        <v>479</v>
      </c>
      <c r="BL12" s="19">
        <v>-2.3999999999999998E-3</v>
      </c>
      <c r="BM12">
        <f t="shared" si="3"/>
        <v>103.56617126251881</v>
      </c>
      <c r="BO12" s="1" t="s">
        <v>2077</v>
      </c>
      <c r="BV12" s="19">
        <v>-1.0800000000000001E-2</v>
      </c>
      <c r="BW12">
        <f t="shared" si="4"/>
        <v>99.22345530277471</v>
      </c>
      <c r="BY12" s="1" t="s">
        <v>365</v>
      </c>
      <c r="CF12" s="19">
        <v>-2.3999999999999998E-3</v>
      </c>
      <c r="CG12">
        <f t="shared" si="5"/>
        <v>103.14835086967739</v>
      </c>
    </row>
    <row r="13" spans="2:86" x14ac:dyDescent="0.2">
      <c r="B13" s="1" t="s">
        <v>2651</v>
      </c>
      <c r="I13" s="19">
        <v>-7.7999999999999996E-3</v>
      </c>
      <c r="J13">
        <f t="shared" si="6"/>
        <v>103.89882039742535</v>
      </c>
      <c r="M13" s="1" t="s">
        <v>479</v>
      </c>
      <c r="T13" s="19">
        <v>-2.3999999999999998E-3</v>
      </c>
      <c r="U13">
        <f t="shared" si="7"/>
        <v>104.05432401920038</v>
      </c>
      <c r="AF13" s="19">
        <v>4.4000000000000003E-3</v>
      </c>
      <c r="AG13">
        <f t="shared" si="0"/>
        <v>103.19763505763264</v>
      </c>
      <c r="AR13" s="19">
        <v>2.9999999999999997E-4</v>
      </c>
      <c r="AS13">
        <f t="shared" si="1"/>
        <v>103.59724111389755</v>
      </c>
      <c r="AU13" s="1" t="s">
        <v>2077</v>
      </c>
      <c r="BB13" s="19">
        <v>1E-3</v>
      </c>
      <c r="BC13">
        <f t="shared" si="2"/>
        <v>102.16457800301326</v>
      </c>
      <c r="BE13" s="1" t="s">
        <v>365</v>
      </c>
      <c r="BL13" s="19">
        <v>2.9999999999999997E-4</v>
      </c>
      <c r="BM13">
        <f t="shared" si="3"/>
        <v>103.59724111389755</v>
      </c>
      <c r="BO13" s="1" t="s">
        <v>2878</v>
      </c>
      <c r="BV13" s="19">
        <v>8.8999999999999999E-3</v>
      </c>
      <c r="BW13">
        <f t="shared" si="4"/>
        <v>100.10654405496939</v>
      </c>
      <c r="BY13" s="1" t="s">
        <v>365</v>
      </c>
      <c r="CF13" s="19">
        <v>2.9999999999999997E-4</v>
      </c>
      <c r="CG13">
        <f t="shared" si="5"/>
        <v>103.17929537493829</v>
      </c>
    </row>
    <row r="14" spans="2:86" x14ac:dyDescent="0.2">
      <c r="B14" s="1" t="s">
        <v>367</v>
      </c>
      <c r="I14" s="19">
        <v>4.5999999999999999E-3</v>
      </c>
      <c r="J14">
        <f t="shared" si="6"/>
        <v>104.3767549712535</v>
      </c>
      <c r="M14" s="1" t="s">
        <v>365</v>
      </c>
      <c r="T14" s="19">
        <v>2.9999999999999997E-4</v>
      </c>
      <c r="U14">
        <f t="shared" si="7"/>
        <v>104.08554031640614</v>
      </c>
      <c r="X14" s="1" t="s">
        <v>2082</v>
      </c>
      <c r="AF14" s="19">
        <v>2.5000000000000001E-2</v>
      </c>
      <c r="AG14">
        <f t="shared" si="0"/>
        <v>105.77757593407344</v>
      </c>
      <c r="AJ14" s="1" t="s">
        <v>481</v>
      </c>
      <c r="AR14" s="19">
        <v>1.23E-2</v>
      </c>
      <c r="AS14">
        <f t="shared" si="1"/>
        <v>104.87148717959849</v>
      </c>
      <c r="BB14" s="19">
        <v>2.5000000000000001E-2</v>
      </c>
      <c r="BC14">
        <f t="shared" si="2"/>
        <v>104.71869245308858</v>
      </c>
      <c r="BL14" s="19">
        <v>1.23E-2</v>
      </c>
      <c r="BM14">
        <f t="shared" si="3"/>
        <v>104.87148717959849</v>
      </c>
      <c r="BV14" s="19">
        <v>2.5000000000000001E-2</v>
      </c>
      <c r="BW14">
        <f t="shared" si="4"/>
        <v>102.60920765634361</v>
      </c>
      <c r="CF14" s="19">
        <v>1.23E-2</v>
      </c>
      <c r="CG14">
        <f t="shared" si="5"/>
        <v>104.44840070805003</v>
      </c>
    </row>
    <row r="15" spans="2:86" x14ac:dyDescent="0.2">
      <c r="I15" s="19">
        <v>2.5000000000000001E-2</v>
      </c>
      <c r="J15">
        <f t="shared" si="6"/>
        <v>106.98617384553484</v>
      </c>
      <c r="T15" s="19">
        <v>1.23E-2</v>
      </c>
      <c r="U15">
        <f t="shared" si="7"/>
        <v>105.36579246229793</v>
      </c>
      <c r="X15" s="1" t="s">
        <v>2080</v>
      </c>
      <c r="AD15">
        <v>2017</v>
      </c>
      <c r="AE15" t="s">
        <v>173</v>
      </c>
      <c r="AF15" s="5">
        <f>AG14/100 - 1</f>
        <v>5.7775759340734423E-2</v>
      </c>
      <c r="AJ15" s="1" t="s">
        <v>376</v>
      </c>
      <c r="AQ15" t="s">
        <v>173</v>
      </c>
      <c r="AR15" s="5">
        <f>AS14/100 - 1</f>
        <v>4.8714871795984882E-2</v>
      </c>
      <c r="AU15" s="2" t="s">
        <v>2652</v>
      </c>
      <c r="BA15" t="s">
        <v>173</v>
      </c>
      <c r="BB15" s="5">
        <f>BC14/100 - 1</f>
        <v>4.7186924530885799E-2</v>
      </c>
      <c r="BE15" s="2" t="s">
        <v>2652</v>
      </c>
      <c r="BK15" t="s">
        <v>173</v>
      </c>
      <c r="BL15" s="5">
        <f>BM14/100 - 1</f>
        <v>4.8714871795984882E-2</v>
      </c>
      <c r="BO15" s="2" t="s">
        <v>2879</v>
      </c>
      <c r="BU15" t="s">
        <v>173</v>
      </c>
      <c r="BV15" s="5">
        <f>BW14/100 - 1</f>
        <v>2.609207656343604E-2</v>
      </c>
      <c r="BY15" s="2" t="s">
        <v>2879</v>
      </c>
      <c r="CE15" t="s">
        <v>173</v>
      </c>
      <c r="CF15" s="5">
        <f>CG14/100 - 1</f>
        <v>4.4484007080500376E-2</v>
      </c>
    </row>
    <row r="16" spans="2:86" x14ac:dyDescent="0.2">
      <c r="B16" s="2" t="s">
        <v>2879</v>
      </c>
      <c r="H16" t="s">
        <v>173</v>
      </c>
      <c r="I16" s="5">
        <f>J15/100 - 1</f>
        <v>6.9861738455348377E-2</v>
      </c>
      <c r="M16" s="2" t="s">
        <v>480</v>
      </c>
      <c r="S16" t="s">
        <v>173</v>
      </c>
      <c r="T16" s="5">
        <f>U15/100 - 1</f>
        <v>5.3657924622979358E-2</v>
      </c>
      <c r="X16" s="1" t="s">
        <v>2490</v>
      </c>
      <c r="AE16" t="s">
        <v>472</v>
      </c>
      <c r="AF16" s="5">
        <f>_xlfn.STDEV.S(AF3:AF14)*12^0.5</f>
        <v>3.6260710016615655E-2</v>
      </c>
      <c r="AJ16" s="1" t="s">
        <v>369</v>
      </c>
      <c r="AQ16" t="s">
        <v>472</v>
      </c>
      <c r="AR16" s="5">
        <f>_xlfn.STDEV.S(AR3:AR14)*12^0.5</f>
        <v>3.7414083396010607E-2</v>
      </c>
      <c r="AU16" s="1" t="s">
        <v>369</v>
      </c>
      <c r="BA16" t="s">
        <v>472</v>
      </c>
      <c r="BB16" s="5">
        <f>_xlfn.STDEV.S(BB3:BB14)*12^0.5</f>
        <v>3.3272579483029946E-2</v>
      </c>
      <c r="BE16" s="1" t="s">
        <v>481</v>
      </c>
      <c r="BK16" t="s">
        <v>472</v>
      </c>
      <c r="BL16" s="5">
        <f>_xlfn.STDEV.S(BL3:BL14)*12^0.5</f>
        <v>3.7414083396010607E-2</v>
      </c>
      <c r="BO16" s="1" t="s">
        <v>2081</v>
      </c>
      <c r="BU16" t="s">
        <v>472</v>
      </c>
      <c r="BV16" s="5">
        <f>_xlfn.STDEV.S(BV3:BV14)*12^0.5</f>
        <v>4.2186555376629818E-2</v>
      </c>
      <c r="BY16" s="1" t="s">
        <v>481</v>
      </c>
      <c r="CE16" t="s">
        <v>472</v>
      </c>
      <c r="CF16" s="5">
        <f>_xlfn.STDEV.S(CF3:CF14)*12^0.5</f>
        <v>3.9050584910064814E-2</v>
      </c>
    </row>
    <row r="17" spans="2:84" x14ac:dyDescent="0.2">
      <c r="B17" s="1" t="s">
        <v>2490</v>
      </c>
      <c r="H17" t="s">
        <v>472</v>
      </c>
      <c r="I17" s="5">
        <f>_xlfn.STDEV.S(I4:I15)*12^0.5</f>
        <v>3.5698268356271337E-2</v>
      </c>
      <c r="M17" s="1" t="s">
        <v>481</v>
      </c>
      <c r="S17" t="s">
        <v>472</v>
      </c>
      <c r="T17" s="5">
        <f>_xlfn.STDEV.S(T4:T15)*12^0.5</f>
        <v>3.6790957387033918E-2</v>
      </c>
      <c r="X17" s="1" t="s">
        <v>370</v>
      </c>
      <c r="AE17" s="5" t="s">
        <v>171</v>
      </c>
      <c r="AF17" s="7">
        <f>(AF15-I1)/AF16</f>
        <v>0.76600152969996471</v>
      </c>
      <c r="AJ17" s="1" t="s">
        <v>371</v>
      </c>
      <c r="AQ17" s="5" t="s">
        <v>171</v>
      </c>
      <c r="AR17" s="7">
        <f>(AR15-I1)/AR16</f>
        <v>0.50020928210098592</v>
      </c>
      <c r="AU17" s="1" t="s">
        <v>373</v>
      </c>
      <c r="BA17" s="5" t="s">
        <v>171</v>
      </c>
      <c r="BB17" s="7">
        <f>(BB15-I1)/BB16</f>
        <v>0.51654920652159442</v>
      </c>
      <c r="BE17" s="1" t="s">
        <v>376</v>
      </c>
      <c r="BK17" s="5" t="s">
        <v>171</v>
      </c>
      <c r="BL17" s="7">
        <f>(BL15-I1)/BL16</f>
        <v>0.50020928210098592</v>
      </c>
      <c r="BO17" s="1" t="s">
        <v>374</v>
      </c>
      <c r="BU17" s="5" t="s">
        <v>171</v>
      </c>
      <c r="BV17" s="7">
        <f>(BV15-I1)/BV16</f>
        <v>-9.2634333419145204E-2</v>
      </c>
      <c r="BY17" s="1" t="s">
        <v>376</v>
      </c>
      <c r="CE17" s="5" t="s">
        <v>171</v>
      </c>
      <c r="CF17" s="7">
        <f>(CF15-I1)/CF16</f>
        <v>0.37090371665002386</v>
      </c>
    </row>
    <row r="18" spans="2:84" x14ac:dyDescent="0.2">
      <c r="B18" s="1" t="s">
        <v>3038</v>
      </c>
      <c r="H18" s="5" t="s">
        <v>171</v>
      </c>
      <c r="I18" s="7">
        <f>(I16-I1)/I17</f>
        <v>1.116629469461244</v>
      </c>
      <c r="M18" s="1" t="s">
        <v>376</v>
      </c>
      <c r="S18" s="5" t="s">
        <v>171</v>
      </c>
      <c r="T18" s="7">
        <f>(T16-I1)/T17</f>
        <v>0.64303639544093572</v>
      </c>
      <c r="X18" s="1" t="s">
        <v>372</v>
      </c>
      <c r="AE18" t="s">
        <v>474</v>
      </c>
      <c r="AF18" s="5">
        <f>_xlfn.STDEV.S(AH3:AH6)*12^0.5</f>
        <v>2.0330027053597349E-2</v>
      </c>
      <c r="AJ18" s="1" t="s">
        <v>373</v>
      </c>
      <c r="AQ18" t="s">
        <v>474</v>
      </c>
      <c r="AR18" s="5">
        <f>_xlfn.STDEV.S(AT4:AT7)*12^0.5</f>
        <v>2.0706279240848658E-2</v>
      </c>
      <c r="AU18" s="1" t="s">
        <v>371</v>
      </c>
      <c r="BA18" t="s">
        <v>474</v>
      </c>
      <c r="BB18" s="5">
        <f>_xlfn.STDEV.S(BD4:BD7)*12^0.5</f>
        <v>1.512712794948202E-2</v>
      </c>
      <c r="BE18" s="1" t="s">
        <v>369</v>
      </c>
      <c r="BK18" t="s">
        <v>474</v>
      </c>
      <c r="BL18" s="5">
        <f>_xlfn.STDEV.S(BN4:BN7)*12^0.5</f>
        <v>2.0706279240848658E-2</v>
      </c>
      <c r="BO18" s="1" t="s">
        <v>371</v>
      </c>
      <c r="BU18" t="s">
        <v>474</v>
      </c>
      <c r="BV18" s="5">
        <f>_xlfn.STDEV.S(BX4:BX7)*12^0.5</f>
        <v>1.7784262706111827E-2</v>
      </c>
      <c r="BY18" s="1" t="s">
        <v>369</v>
      </c>
      <c r="CE18" t="s">
        <v>474</v>
      </c>
      <c r="CF18" s="5">
        <f>_xlfn.STDEV.S(CH4:CH7)*12^0.5</f>
        <v>2.3908994123551075E-2</v>
      </c>
    </row>
    <row r="19" spans="2:84" x14ac:dyDescent="0.2">
      <c r="B19" s="1" t="s">
        <v>374</v>
      </c>
      <c r="H19" t="s">
        <v>474</v>
      </c>
      <c r="I19" s="5">
        <f>_xlfn.STDEV.S(K4:K9)*12^0.5</f>
        <v>2.8336054771262702E-2</v>
      </c>
      <c r="M19" s="1" t="s">
        <v>369</v>
      </c>
      <c r="S19" t="s">
        <v>474</v>
      </c>
      <c r="T19" s="5">
        <f>_xlfn.STDEV.S(V4:V9)*12^0.5</f>
        <v>2.3356797725715743E-2</v>
      </c>
      <c r="X19" s="1" t="s">
        <v>374</v>
      </c>
      <c r="AE19" t="s">
        <v>177</v>
      </c>
      <c r="AF19" s="7">
        <f>(AF15-I1)/AF18</f>
        <v>1.3662431076706103</v>
      </c>
      <c r="AJ19" s="1" t="s">
        <v>370</v>
      </c>
      <c r="AQ19" t="s">
        <v>177</v>
      </c>
      <c r="AR19" s="7">
        <f>(AR15-I1)/AR18</f>
        <v>0.90382591571859072</v>
      </c>
      <c r="AU19" s="1" t="s">
        <v>372</v>
      </c>
      <c r="BA19" t="s">
        <v>177</v>
      </c>
      <c r="BB19" s="7">
        <f>(BB15-I1)/BB18</f>
        <v>1.1361657406668733</v>
      </c>
      <c r="BE19" s="1" t="s">
        <v>371</v>
      </c>
      <c r="BK19" t="s">
        <v>177</v>
      </c>
      <c r="BL19" s="7">
        <f>(BL15-I1)/BL18</f>
        <v>0.90382591571859072</v>
      </c>
      <c r="BO19" s="1" t="s">
        <v>373</v>
      </c>
      <c r="BU19" t="s">
        <v>177</v>
      </c>
      <c r="BV19" s="7">
        <f>(BV15-I1)/BV18</f>
        <v>-0.2197405369647932</v>
      </c>
      <c r="BY19" s="1" t="s">
        <v>371</v>
      </c>
      <c r="CE19" t="s">
        <v>177</v>
      </c>
      <c r="CF19" s="7">
        <f>(CF15-I1)/CF18</f>
        <v>0.60579742525567803</v>
      </c>
    </row>
    <row r="20" spans="2:84" x14ac:dyDescent="0.2">
      <c r="B20" s="1" t="s">
        <v>2492</v>
      </c>
      <c r="H20" t="s">
        <v>177</v>
      </c>
      <c r="I20" s="7">
        <f>(I16-I1)/I19</f>
        <v>1.4067497672885134</v>
      </c>
      <c r="M20" s="1" t="s">
        <v>371</v>
      </c>
      <c r="S20" t="s">
        <v>177</v>
      </c>
      <c r="T20" s="7">
        <f>(T16-I1)/T19</f>
        <v>1.0128924735659321</v>
      </c>
      <c r="X20" s="1" t="s">
        <v>371</v>
      </c>
      <c r="AE20" t="s">
        <v>179</v>
      </c>
      <c r="AF20" s="5">
        <f>SUM(AH5:AH6)</f>
        <v>-2.35E-2</v>
      </c>
      <c r="AJ20" s="1" t="s">
        <v>375</v>
      </c>
      <c r="AQ20" t="s">
        <v>179</v>
      </c>
      <c r="AR20" s="5">
        <f>SUM(AR11:AR12)</f>
        <v>-1.4499999999999999E-2</v>
      </c>
      <c r="AU20" s="1" t="s">
        <v>2082</v>
      </c>
      <c r="BA20" t="s">
        <v>179</v>
      </c>
      <c r="BB20" s="5">
        <f>SUM(BB11:BB12)</f>
        <v>-1.8200000000000001E-2</v>
      </c>
      <c r="BE20" s="1" t="s">
        <v>373</v>
      </c>
      <c r="BK20" t="s">
        <v>179</v>
      </c>
      <c r="BL20" s="5">
        <f>SUM(BL11:BL12)</f>
        <v>-1.4499999999999999E-2</v>
      </c>
      <c r="BO20" s="1" t="s">
        <v>2082</v>
      </c>
      <c r="BU20" t="s">
        <v>179</v>
      </c>
      <c r="BV20" s="5">
        <f>SUM(BV11:BV12)</f>
        <v>-2.1600000000000001E-2</v>
      </c>
      <c r="BY20" s="1" t="s">
        <v>373</v>
      </c>
      <c r="CE20" t="s">
        <v>179</v>
      </c>
      <c r="CF20" s="5">
        <f>SUM(CF11:CF12)</f>
        <v>-1.78E-2</v>
      </c>
    </row>
    <row r="21" spans="2:84" x14ac:dyDescent="0.2">
      <c r="B21" s="1" t="s">
        <v>368</v>
      </c>
      <c r="H21" t="s">
        <v>179</v>
      </c>
      <c r="I21" s="5">
        <f>SUM(K7:K9)</f>
        <v>-1.3999999999999999E-2</v>
      </c>
      <c r="M21" s="1" t="s">
        <v>373</v>
      </c>
      <c r="S21" t="s">
        <v>179</v>
      </c>
      <c r="T21" s="5">
        <f>SUM(T12:T14)</f>
        <v>-1.3299999999999999E-2</v>
      </c>
      <c r="X21" s="1" t="s">
        <v>373</v>
      </c>
      <c r="AJ21" s="1" t="s">
        <v>482</v>
      </c>
      <c r="AU21" s="1" t="s">
        <v>2491</v>
      </c>
      <c r="BE21" s="1" t="s">
        <v>370</v>
      </c>
      <c r="BO21" s="1" t="s">
        <v>2491</v>
      </c>
      <c r="BY21" s="1" t="s">
        <v>370</v>
      </c>
    </row>
    <row r="22" spans="2:84" x14ac:dyDescent="0.2">
      <c r="B22" s="1" t="s">
        <v>2082</v>
      </c>
      <c r="M22" s="1" t="s">
        <v>370</v>
      </c>
      <c r="X22" s="1" t="s">
        <v>2491</v>
      </c>
      <c r="AJ22" s="1" t="s">
        <v>483</v>
      </c>
      <c r="AU22" s="1" t="s">
        <v>370</v>
      </c>
      <c r="BE22" s="1" t="s">
        <v>375</v>
      </c>
      <c r="BO22" s="1" t="s">
        <v>2490</v>
      </c>
      <c r="BY22" s="1" t="s">
        <v>375</v>
      </c>
    </row>
    <row r="23" spans="2:84" x14ac:dyDescent="0.2">
      <c r="B23" s="1" t="s">
        <v>2491</v>
      </c>
      <c r="M23" s="1" t="s">
        <v>375</v>
      </c>
      <c r="X23" s="1" t="s">
        <v>2492</v>
      </c>
      <c r="AJ23" s="1" t="s">
        <v>372</v>
      </c>
      <c r="AU23" s="1" t="s">
        <v>2492</v>
      </c>
      <c r="BE23" s="1" t="s">
        <v>482</v>
      </c>
      <c r="BO23" s="1" t="s">
        <v>370</v>
      </c>
      <c r="BY23" s="1" t="s">
        <v>482</v>
      </c>
    </row>
    <row r="24" spans="2:84" x14ac:dyDescent="0.2">
      <c r="B24" s="1" t="s">
        <v>2081</v>
      </c>
      <c r="M24" s="1" t="s">
        <v>482</v>
      </c>
      <c r="X24" s="1" t="s">
        <v>377</v>
      </c>
      <c r="AU24" s="1" t="s">
        <v>2081</v>
      </c>
      <c r="BE24" s="1" t="s">
        <v>483</v>
      </c>
      <c r="BO24" s="1" t="s">
        <v>2080</v>
      </c>
      <c r="BY24" s="1" t="s">
        <v>483</v>
      </c>
    </row>
    <row r="25" spans="2:84" x14ac:dyDescent="0.2">
      <c r="B25" s="1" t="s">
        <v>2080</v>
      </c>
      <c r="M25" s="1" t="s">
        <v>483</v>
      </c>
      <c r="X25" s="1" t="s">
        <v>2493</v>
      </c>
      <c r="AJ25" s="1" t="s">
        <v>377</v>
      </c>
      <c r="AU25" s="1" t="s">
        <v>2080</v>
      </c>
      <c r="BE25" s="1" t="s">
        <v>372</v>
      </c>
      <c r="BO25" s="1" t="s">
        <v>372</v>
      </c>
      <c r="BY25" s="1" t="s">
        <v>372</v>
      </c>
    </row>
    <row r="26" spans="2:84" x14ac:dyDescent="0.2">
      <c r="B26" s="1" t="s">
        <v>372</v>
      </c>
      <c r="M26" s="1" t="s">
        <v>372</v>
      </c>
      <c r="X26" s="1" t="s">
        <v>382</v>
      </c>
      <c r="AJ26" s="1" t="s">
        <v>487</v>
      </c>
    </row>
    <row r="27" spans="2:84" x14ac:dyDescent="0.2">
      <c r="X27" s="1" t="s">
        <v>2494</v>
      </c>
      <c r="AJ27" s="1" t="s">
        <v>378</v>
      </c>
      <c r="AU27" s="2" t="s">
        <v>2653</v>
      </c>
      <c r="BE27" s="2" t="s">
        <v>2653</v>
      </c>
      <c r="BO27" s="2" t="s">
        <v>2880</v>
      </c>
      <c r="BY27" s="2" t="s">
        <v>2880</v>
      </c>
    </row>
    <row r="28" spans="2:84" x14ac:dyDescent="0.2">
      <c r="B28" s="2" t="s">
        <v>2880</v>
      </c>
      <c r="M28" s="2" t="s">
        <v>484</v>
      </c>
      <c r="X28" s="1" t="s">
        <v>486</v>
      </c>
      <c r="AJ28" s="1" t="s">
        <v>384</v>
      </c>
      <c r="AU28" s="1" t="s">
        <v>377</v>
      </c>
      <c r="BE28" s="1" t="s">
        <v>377</v>
      </c>
      <c r="BO28" s="1" t="s">
        <v>377</v>
      </c>
      <c r="BY28" s="1" t="s">
        <v>377</v>
      </c>
    </row>
    <row r="29" spans="2:84" x14ac:dyDescent="0.2">
      <c r="B29" s="1" t="s">
        <v>377</v>
      </c>
      <c r="M29" s="1" t="s">
        <v>377</v>
      </c>
      <c r="X29" s="1" t="s">
        <v>378</v>
      </c>
      <c r="AJ29" s="1" t="s">
        <v>383</v>
      </c>
      <c r="AU29" s="1" t="s">
        <v>2494</v>
      </c>
      <c r="BE29" s="1" t="s">
        <v>487</v>
      </c>
      <c r="BO29" s="1" t="s">
        <v>379</v>
      </c>
      <c r="BY29" s="1" t="s">
        <v>487</v>
      </c>
    </row>
    <row r="30" spans="2:84" x14ac:dyDescent="0.2">
      <c r="B30" s="1" t="s">
        <v>378</v>
      </c>
      <c r="M30" s="1" t="s">
        <v>385</v>
      </c>
      <c r="X30" s="1" t="s">
        <v>384</v>
      </c>
      <c r="AJ30" s="1" t="s">
        <v>485</v>
      </c>
      <c r="AU30" s="1" t="s">
        <v>378</v>
      </c>
      <c r="BE30" s="1" t="s">
        <v>378</v>
      </c>
      <c r="BO30" s="1" t="s">
        <v>486</v>
      </c>
      <c r="BY30" s="1" t="s">
        <v>378</v>
      </c>
    </row>
    <row r="31" spans="2:84" x14ac:dyDescent="0.2">
      <c r="B31" s="1" t="s">
        <v>379</v>
      </c>
      <c r="M31" s="1" t="s">
        <v>378</v>
      </c>
      <c r="X31" s="1" t="s">
        <v>383</v>
      </c>
      <c r="AJ31" s="1" t="s">
        <v>486</v>
      </c>
      <c r="AU31" s="1" t="s">
        <v>384</v>
      </c>
      <c r="BE31" s="1" t="s">
        <v>384</v>
      </c>
      <c r="BO31" s="1" t="s">
        <v>2494</v>
      </c>
      <c r="BY31" s="1" t="s">
        <v>384</v>
      </c>
    </row>
    <row r="32" spans="2:84" x14ac:dyDescent="0.2">
      <c r="B32" s="1" t="s">
        <v>3039</v>
      </c>
      <c r="M32" s="1" t="s">
        <v>384</v>
      </c>
      <c r="X32" s="1" t="s">
        <v>488</v>
      </c>
      <c r="AJ32" s="1" t="s">
        <v>381</v>
      </c>
      <c r="AU32" s="1" t="s">
        <v>2083</v>
      </c>
      <c r="BE32" s="1" t="s">
        <v>383</v>
      </c>
      <c r="BO32" s="1" t="s">
        <v>488</v>
      </c>
      <c r="BY32" s="1" t="s">
        <v>383</v>
      </c>
    </row>
    <row r="33" spans="2:77" x14ac:dyDescent="0.2">
      <c r="B33" s="1" t="s">
        <v>382</v>
      </c>
      <c r="M33" s="1" t="s">
        <v>383</v>
      </c>
      <c r="X33" s="1" t="s">
        <v>487</v>
      </c>
      <c r="AJ33" s="1" t="s">
        <v>488</v>
      </c>
      <c r="AU33" s="1" t="s">
        <v>383</v>
      </c>
      <c r="BE33" s="1" t="s">
        <v>485</v>
      </c>
      <c r="BO33" s="1" t="s">
        <v>378</v>
      </c>
      <c r="BY33" s="1" t="s">
        <v>485</v>
      </c>
    </row>
    <row r="34" spans="2:77" x14ac:dyDescent="0.2">
      <c r="B34" s="1" t="s">
        <v>487</v>
      </c>
      <c r="M34" s="1" t="s">
        <v>485</v>
      </c>
      <c r="AJ34" s="1" t="s">
        <v>380</v>
      </c>
      <c r="AU34" s="1" t="s">
        <v>485</v>
      </c>
      <c r="BE34" s="1" t="s">
        <v>486</v>
      </c>
      <c r="BO34" s="1" t="s">
        <v>384</v>
      </c>
      <c r="BY34" s="1" t="s">
        <v>486</v>
      </c>
    </row>
    <row r="35" spans="2:77" x14ac:dyDescent="0.2">
      <c r="B35" s="1" t="s">
        <v>383</v>
      </c>
      <c r="M35" s="1" t="s">
        <v>486</v>
      </c>
      <c r="X35" s="1" t="s">
        <v>387</v>
      </c>
      <c r="AU35" s="1" t="s">
        <v>486</v>
      </c>
      <c r="BE35" s="1" t="s">
        <v>381</v>
      </c>
      <c r="BO35" s="1" t="s">
        <v>383</v>
      </c>
      <c r="BY35" s="1" t="s">
        <v>381</v>
      </c>
    </row>
    <row r="36" spans="2:77" x14ac:dyDescent="0.2">
      <c r="B36" s="1" t="s">
        <v>384</v>
      </c>
      <c r="M36" s="1" t="s">
        <v>381</v>
      </c>
      <c r="X36" s="1" t="s">
        <v>388</v>
      </c>
      <c r="AJ36" s="1" t="s">
        <v>387</v>
      </c>
      <c r="AU36" s="1" t="s">
        <v>488</v>
      </c>
      <c r="BE36" s="1" t="s">
        <v>488</v>
      </c>
      <c r="BO36" s="1" t="s">
        <v>380</v>
      </c>
      <c r="BY36" s="1" t="s">
        <v>488</v>
      </c>
    </row>
    <row r="37" spans="2:77" x14ac:dyDescent="0.2">
      <c r="B37" s="1" t="s">
        <v>2494</v>
      </c>
      <c r="M37" s="1" t="s">
        <v>487</v>
      </c>
      <c r="X37" s="1" t="s">
        <v>389</v>
      </c>
      <c r="AJ37" s="1" t="s">
        <v>395</v>
      </c>
      <c r="AU37" s="1" t="s">
        <v>380</v>
      </c>
      <c r="BE37" s="1" t="s">
        <v>380</v>
      </c>
      <c r="BO37" s="1" t="s">
        <v>2493</v>
      </c>
      <c r="BY37" s="1" t="s">
        <v>380</v>
      </c>
    </row>
    <row r="38" spans="2:77" x14ac:dyDescent="0.2">
      <c r="B38" s="1" t="s">
        <v>386</v>
      </c>
      <c r="M38" s="1" t="s">
        <v>488</v>
      </c>
      <c r="X38" s="1" t="s">
        <v>2084</v>
      </c>
      <c r="AJ38" s="1" t="s">
        <v>389</v>
      </c>
    </row>
    <row r="39" spans="2:77" x14ac:dyDescent="0.2">
      <c r="X39" s="1" t="s">
        <v>390</v>
      </c>
      <c r="AJ39" s="1" t="s">
        <v>390</v>
      </c>
      <c r="AU39" s="2" t="s">
        <v>2654</v>
      </c>
      <c r="BE39" s="2" t="s">
        <v>2654</v>
      </c>
      <c r="BO39" s="2" t="s">
        <v>2881</v>
      </c>
      <c r="BY39" s="2" t="s">
        <v>2881</v>
      </c>
    </row>
    <row r="40" spans="2:77" x14ac:dyDescent="0.2">
      <c r="B40" s="2" t="s">
        <v>2881</v>
      </c>
      <c r="M40" s="2" t="s">
        <v>489</v>
      </c>
      <c r="X40" s="1" t="s">
        <v>2495</v>
      </c>
      <c r="AJ40" s="1" t="s">
        <v>396</v>
      </c>
      <c r="AU40" s="1" t="s">
        <v>387</v>
      </c>
      <c r="BE40" s="1" t="s">
        <v>387</v>
      </c>
      <c r="BO40" s="1" t="s">
        <v>387</v>
      </c>
      <c r="BY40" s="1" t="s">
        <v>387</v>
      </c>
    </row>
    <row r="41" spans="2:77" x14ac:dyDescent="0.2">
      <c r="B41" s="1" t="s">
        <v>387</v>
      </c>
      <c r="M41" s="1" t="s">
        <v>387</v>
      </c>
      <c r="X41" s="1" t="s">
        <v>392</v>
      </c>
      <c r="AJ41" s="1" t="s">
        <v>392</v>
      </c>
      <c r="AU41" s="1" t="s">
        <v>388</v>
      </c>
      <c r="BE41" s="1" t="s">
        <v>395</v>
      </c>
      <c r="BO41" s="1" t="s">
        <v>388</v>
      </c>
      <c r="BY41" s="1" t="s">
        <v>395</v>
      </c>
    </row>
    <row r="42" spans="2:77" x14ac:dyDescent="0.2">
      <c r="B42" s="1" t="s">
        <v>388</v>
      </c>
      <c r="M42" s="1" t="s">
        <v>490</v>
      </c>
      <c r="X42" s="1" t="s">
        <v>394</v>
      </c>
      <c r="AJ42" s="1" t="s">
        <v>491</v>
      </c>
      <c r="AU42" s="1" t="s">
        <v>389</v>
      </c>
      <c r="BE42" s="1" t="s">
        <v>389</v>
      </c>
      <c r="BO42" s="1" t="s">
        <v>389</v>
      </c>
      <c r="BY42" s="1" t="s">
        <v>389</v>
      </c>
    </row>
    <row r="43" spans="2:77" x14ac:dyDescent="0.2">
      <c r="B43" s="1" t="s">
        <v>389</v>
      </c>
      <c r="M43" s="1" t="s">
        <v>389</v>
      </c>
      <c r="X43" s="1" t="s">
        <v>395</v>
      </c>
      <c r="AJ43" s="1" t="s">
        <v>492</v>
      </c>
      <c r="AU43" s="1" t="s">
        <v>2084</v>
      </c>
      <c r="BE43" s="1" t="s">
        <v>390</v>
      </c>
      <c r="BO43" s="1" t="s">
        <v>2084</v>
      </c>
      <c r="BY43" s="1" t="s">
        <v>390</v>
      </c>
    </row>
    <row r="44" spans="2:77" x14ac:dyDescent="0.2">
      <c r="B44" s="1" t="s">
        <v>2084</v>
      </c>
      <c r="M44" s="1" t="s">
        <v>390</v>
      </c>
      <c r="X44" s="1" t="s">
        <v>391</v>
      </c>
      <c r="AJ44" s="1" t="s">
        <v>393</v>
      </c>
      <c r="AU44" s="1" t="s">
        <v>390</v>
      </c>
      <c r="BE44" s="1" t="s">
        <v>396</v>
      </c>
      <c r="BO44" s="1" t="s">
        <v>390</v>
      </c>
      <c r="BY44" s="1" t="s">
        <v>396</v>
      </c>
    </row>
    <row r="45" spans="2:77" x14ac:dyDescent="0.2">
      <c r="B45" s="1" t="s">
        <v>390</v>
      </c>
      <c r="M45" s="1" t="s">
        <v>396</v>
      </c>
      <c r="AJ45" s="1" t="s">
        <v>394</v>
      </c>
      <c r="AU45" s="1" t="s">
        <v>2495</v>
      </c>
      <c r="BE45" s="1" t="s">
        <v>392</v>
      </c>
      <c r="BO45" s="1" t="s">
        <v>2495</v>
      </c>
      <c r="BY45" s="1" t="s">
        <v>392</v>
      </c>
    </row>
    <row r="46" spans="2:77" x14ac:dyDescent="0.2">
      <c r="B46" s="1" t="s">
        <v>2495</v>
      </c>
      <c r="M46" s="1" t="s">
        <v>392</v>
      </c>
      <c r="X46" s="1" t="s">
        <v>398</v>
      </c>
      <c r="AU46" s="1" t="s">
        <v>392</v>
      </c>
      <c r="BE46" s="1" t="s">
        <v>491</v>
      </c>
      <c r="BO46" s="1" t="s">
        <v>392</v>
      </c>
      <c r="BY46" s="1" t="s">
        <v>491</v>
      </c>
    </row>
    <row r="47" spans="2:77" x14ac:dyDescent="0.2">
      <c r="B47" s="1" t="s">
        <v>392</v>
      </c>
      <c r="M47" s="1" t="s">
        <v>491</v>
      </c>
      <c r="X47" s="1" t="s">
        <v>2085</v>
      </c>
      <c r="AJ47" s="1" t="s">
        <v>402</v>
      </c>
      <c r="AU47" s="1" t="s">
        <v>394</v>
      </c>
      <c r="BE47" s="1" t="s">
        <v>492</v>
      </c>
      <c r="BO47" s="1" t="s">
        <v>2882</v>
      </c>
      <c r="BY47" s="1" t="s">
        <v>492</v>
      </c>
    </row>
    <row r="48" spans="2:77" x14ac:dyDescent="0.2">
      <c r="B48" s="1" t="s">
        <v>394</v>
      </c>
      <c r="M48" s="1" t="s">
        <v>492</v>
      </c>
      <c r="X48" s="1" t="s">
        <v>402</v>
      </c>
      <c r="AJ48" s="1" t="s">
        <v>397</v>
      </c>
      <c r="AU48" s="1" t="s">
        <v>395</v>
      </c>
      <c r="BE48" s="1" t="s">
        <v>393</v>
      </c>
      <c r="BO48" s="1" t="s">
        <v>395</v>
      </c>
      <c r="BY48" s="1" t="s">
        <v>393</v>
      </c>
    </row>
    <row r="49" spans="2:77" x14ac:dyDescent="0.2">
      <c r="B49" s="1" t="s">
        <v>395</v>
      </c>
      <c r="M49" s="1" t="s">
        <v>393</v>
      </c>
      <c r="X49" s="1" t="s">
        <v>400</v>
      </c>
      <c r="AJ49" s="1" t="s">
        <v>403</v>
      </c>
      <c r="AU49" s="1" t="s">
        <v>391</v>
      </c>
      <c r="BE49" s="1" t="s">
        <v>394</v>
      </c>
      <c r="BO49" s="1" t="s">
        <v>391</v>
      </c>
      <c r="BY49" s="1" t="s">
        <v>394</v>
      </c>
    </row>
    <row r="50" spans="2:77" x14ac:dyDescent="0.2">
      <c r="B50" s="1" t="s">
        <v>391</v>
      </c>
      <c r="M50" s="1" t="s">
        <v>394</v>
      </c>
      <c r="X50" s="1" t="s">
        <v>401</v>
      </c>
      <c r="AJ50" s="1" t="s">
        <v>400</v>
      </c>
    </row>
    <row r="51" spans="2:77" x14ac:dyDescent="0.2">
      <c r="X51" s="1" t="s">
        <v>2086</v>
      </c>
      <c r="AJ51" s="1" t="s">
        <v>401</v>
      </c>
      <c r="AU51" s="2" t="s">
        <v>2655</v>
      </c>
      <c r="BE51" s="2" t="s">
        <v>2655</v>
      </c>
      <c r="BO51" s="2" t="s">
        <v>2883</v>
      </c>
      <c r="BY51" s="2" t="s">
        <v>2883</v>
      </c>
    </row>
    <row r="52" spans="2:77" x14ac:dyDescent="0.2">
      <c r="B52" s="2" t="s">
        <v>2883</v>
      </c>
      <c r="M52" s="2" t="s">
        <v>493</v>
      </c>
      <c r="X52" s="1" t="s">
        <v>406</v>
      </c>
      <c r="AJ52" s="1" t="s">
        <v>398</v>
      </c>
      <c r="AU52" s="1" t="s">
        <v>2085</v>
      </c>
      <c r="BE52" s="1" t="s">
        <v>402</v>
      </c>
      <c r="BO52" s="1" t="s">
        <v>400</v>
      </c>
      <c r="BY52" s="1" t="s">
        <v>402</v>
      </c>
    </row>
    <row r="53" spans="2:77" x14ac:dyDescent="0.2">
      <c r="B53" s="1" t="s">
        <v>400</v>
      </c>
      <c r="M53" s="1" t="s">
        <v>402</v>
      </c>
      <c r="X53" s="1" t="s">
        <v>404</v>
      </c>
      <c r="AJ53" s="1" t="s">
        <v>404</v>
      </c>
      <c r="AU53" s="1" t="s">
        <v>400</v>
      </c>
      <c r="BE53" s="1" t="s">
        <v>397</v>
      </c>
      <c r="BO53" s="1" t="s">
        <v>401</v>
      </c>
      <c r="BY53" s="1" t="s">
        <v>397</v>
      </c>
    </row>
    <row r="54" spans="2:77" x14ac:dyDescent="0.2">
      <c r="B54" s="1" t="s">
        <v>401</v>
      </c>
      <c r="M54" s="1" t="s">
        <v>397</v>
      </c>
      <c r="X54" s="1" t="s">
        <v>2087</v>
      </c>
      <c r="AJ54" s="1" t="s">
        <v>405</v>
      </c>
      <c r="AU54" s="1" t="s">
        <v>401</v>
      </c>
      <c r="BE54" s="1" t="s">
        <v>403</v>
      </c>
      <c r="BO54" s="1" t="s">
        <v>398</v>
      </c>
      <c r="BY54" s="1" t="s">
        <v>403</v>
      </c>
    </row>
    <row r="55" spans="2:77" x14ac:dyDescent="0.2">
      <c r="B55" s="1" t="s">
        <v>2086</v>
      </c>
      <c r="M55" s="1" t="s">
        <v>403</v>
      </c>
      <c r="X55" s="1" t="s">
        <v>399</v>
      </c>
      <c r="AJ55" s="1" t="s">
        <v>399</v>
      </c>
      <c r="AU55" s="1" t="s">
        <v>2086</v>
      </c>
      <c r="BE55" s="1" t="s">
        <v>400</v>
      </c>
      <c r="BO55" s="1" t="s">
        <v>2086</v>
      </c>
      <c r="BY55" s="1" t="s">
        <v>400</v>
      </c>
    </row>
    <row r="56" spans="2:77" x14ac:dyDescent="0.2">
      <c r="B56" s="1" t="s">
        <v>402</v>
      </c>
      <c r="M56" s="1" t="s">
        <v>400</v>
      </c>
      <c r="AJ56" s="1" t="s">
        <v>406</v>
      </c>
      <c r="AU56" s="1" t="s">
        <v>402</v>
      </c>
      <c r="BE56" s="1" t="s">
        <v>401</v>
      </c>
      <c r="BO56" s="1" t="s">
        <v>2085</v>
      </c>
      <c r="BY56" s="1" t="s">
        <v>401</v>
      </c>
    </row>
    <row r="57" spans="2:77" x14ac:dyDescent="0.2">
      <c r="B57" s="1" t="s">
        <v>2085</v>
      </c>
      <c r="M57" s="1" t="s">
        <v>401</v>
      </c>
      <c r="X57" s="1" t="s">
        <v>2088</v>
      </c>
      <c r="AU57" s="1" t="s">
        <v>398</v>
      </c>
      <c r="BE57" s="1" t="s">
        <v>398</v>
      </c>
      <c r="BO57" s="1" t="s">
        <v>406</v>
      </c>
      <c r="BY57" s="1" t="s">
        <v>398</v>
      </c>
    </row>
    <row r="58" spans="2:77" x14ac:dyDescent="0.2">
      <c r="B58" s="1" t="s">
        <v>398</v>
      </c>
      <c r="M58" s="1" t="s">
        <v>398</v>
      </c>
      <c r="X58" s="1" t="s">
        <v>410</v>
      </c>
      <c r="AJ58" s="1" t="s">
        <v>413</v>
      </c>
      <c r="AU58" s="1" t="s">
        <v>406</v>
      </c>
      <c r="BE58" s="1" t="s">
        <v>404</v>
      </c>
      <c r="BO58" s="1" t="s">
        <v>402</v>
      </c>
      <c r="BY58" s="1" t="s">
        <v>404</v>
      </c>
    </row>
    <row r="59" spans="2:77" x14ac:dyDescent="0.2">
      <c r="B59" s="1" t="s">
        <v>406</v>
      </c>
      <c r="M59" s="1" t="s">
        <v>404</v>
      </c>
      <c r="X59" s="1" t="s">
        <v>411</v>
      </c>
      <c r="AJ59" s="1" t="s">
        <v>412</v>
      </c>
      <c r="AU59" s="1" t="s">
        <v>2656</v>
      </c>
      <c r="BE59" s="1" t="s">
        <v>405</v>
      </c>
      <c r="BO59" s="1" t="s">
        <v>2657</v>
      </c>
      <c r="BY59" s="1" t="s">
        <v>405</v>
      </c>
    </row>
    <row r="60" spans="2:77" x14ac:dyDescent="0.2">
      <c r="B60" s="1" t="s">
        <v>3040</v>
      </c>
      <c r="M60" s="1" t="s">
        <v>405</v>
      </c>
      <c r="X60" s="1" t="s">
        <v>2089</v>
      </c>
      <c r="AJ60" s="1" t="s">
        <v>408</v>
      </c>
      <c r="AU60" s="1" t="s">
        <v>2657</v>
      </c>
      <c r="BE60" s="1" t="s">
        <v>399</v>
      </c>
      <c r="BO60" s="1" t="s">
        <v>2884</v>
      </c>
      <c r="BY60" s="1" t="s">
        <v>399</v>
      </c>
    </row>
    <row r="61" spans="2:77" x14ac:dyDescent="0.2">
      <c r="B61" s="1" t="s">
        <v>3041</v>
      </c>
      <c r="M61" s="1" t="s">
        <v>399</v>
      </c>
      <c r="X61" s="1" t="s">
        <v>415</v>
      </c>
      <c r="AJ61" s="1" t="s">
        <v>415</v>
      </c>
      <c r="AU61" s="1" t="s">
        <v>2658</v>
      </c>
      <c r="BE61" s="1" t="s">
        <v>406</v>
      </c>
      <c r="BO61" s="1" t="s">
        <v>404</v>
      </c>
      <c r="BY61" s="1" t="s">
        <v>406</v>
      </c>
    </row>
    <row r="62" spans="2:77" x14ac:dyDescent="0.2">
      <c r="B62" s="1" t="s">
        <v>2656</v>
      </c>
      <c r="M62" s="1" t="s">
        <v>406</v>
      </c>
      <c r="X62" s="1" t="s">
        <v>414</v>
      </c>
      <c r="AJ62" s="1" t="s">
        <v>409</v>
      </c>
    </row>
    <row r="63" spans="2:77" x14ac:dyDescent="0.2">
      <c r="X63" s="1" t="s">
        <v>407</v>
      </c>
      <c r="AJ63" s="1" t="s">
        <v>407</v>
      </c>
      <c r="AU63" s="2" t="s">
        <v>2659</v>
      </c>
      <c r="BE63" s="2" t="s">
        <v>2659</v>
      </c>
      <c r="BO63" s="2" t="s">
        <v>2885</v>
      </c>
      <c r="BY63" s="2" t="s">
        <v>2885</v>
      </c>
    </row>
    <row r="64" spans="2:77" x14ac:dyDescent="0.2">
      <c r="B64" s="2" t="s">
        <v>2885</v>
      </c>
      <c r="M64" s="2" t="s">
        <v>494</v>
      </c>
      <c r="X64" s="1" t="s">
        <v>408</v>
      </c>
      <c r="AJ64" s="1" t="s">
        <v>411</v>
      </c>
      <c r="AU64" s="1" t="s">
        <v>413</v>
      </c>
      <c r="BE64" s="1" t="s">
        <v>413</v>
      </c>
      <c r="BO64" s="1" t="s">
        <v>407</v>
      </c>
      <c r="BY64" s="1" t="s">
        <v>413</v>
      </c>
    </row>
    <row r="65" spans="2:77" x14ac:dyDescent="0.2">
      <c r="B65" s="1" t="s">
        <v>407</v>
      </c>
      <c r="M65" s="1" t="s">
        <v>413</v>
      </c>
      <c r="X65" s="1" t="s">
        <v>413</v>
      </c>
      <c r="AJ65" s="1" t="s">
        <v>410</v>
      </c>
      <c r="AU65" s="1" t="s">
        <v>411</v>
      </c>
      <c r="BE65" s="1" t="s">
        <v>412</v>
      </c>
      <c r="BO65" s="1" t="s">
        <v>2090</v>
      </c>
      <c r="BY65" s="1" t="s">
        <v>412</v>
      </c>
    </row>
    <row r="66" spans="2:77" x14ac:dyDescent="0.2">
      <c r="B66" s="1" t="s">
        <v>2089</v>
      </c>
      <c r="M66" s="1" t="s">
        <v>409</v>
      </c>
      <c r="X66" s="1" t="s">
        <v>2090</v>
      </c>
      <c r="AJ66" s="1" t="s">
        <v>414</v>
      </c>
      <c r="AU66" s="1" t="s">
        <v>407</v>
      </c>
      <c r="BE66" s="1" t="s">
        <v>408</v>
      </c>
      <c r="BO66" s="1" t="s">
        <v>2088</v>
      </c>
      <c r="BY66" s="1" t="s">
        <v>408</v>
      </c>
    </row>
    <row r="67" spans="2:77" x14ac:dyDescent="0.2">
      <c r="B67" s="1" t="s">
        <v>410</v>
      </c>
      <c r="M67" s="1" t="s">
        <v>408</v>
      </c>
      <c r="AJ67" s="1" t="s">
        <v>2088</v>
      </c>
      <c r="AU67" s="1" t="s">
        <v>414</v>
      </c>
      <c r="BE67" s="1" t="s">
        <v>415</v>
      </c>
      <c r="BO67" s="1" t="s">
        <v>410</v>
      </c>
      <c r="BY67" s="1" t="s">
        <v>415</v>
      </c>
    </row>
    <row r="68" spans="2:77" x14ac:dyDescent="0.2">
      <c r="B68" s="1" t="s">
        <v>411</v>
      </c>
      <c r="M68" s="1" t="s">
        <v>414</v>
      </c>
      <c r="X68" s="1" t="s">
        <v>421</v>
      </c>
      <c r="AU68" s="1" t="s">
        <v>408</v>
      </c>
      <c r="BE68" s="1" t="s">
        <v>409</v>
      </c>
      <c r="BO68" s="1" t="s">
        <v>411</v>
      </c>
      <c r="BY68" s="1" t="s">
        <v>409</v>
      </c>
    </row>
    <row r="69" spans="2:77" x14ac:dyDescent="0.2">
      <c r="B69" s="1" t="s">
        <v>415</v>
      </c>
      <c r="M69" s="1" t="s">
        <v>410</v>
      </c>
      <c r="X69" s="1" t="s">
        <v>416</v>
      </c>
      <c r="AJ69" s="1" t="s">
        <v>421</v>
      </c>
      <c r="AU69" s="1" t="s">
        <v>2088</v>
      </c>
      <c r="BE69" s="1" t="s">
        <v>407</v>
      </c>
      <c r="BO69" s="1" t="s">
        <v>2089</v>
      </c>
      <c r="BY69" s="1" t="s">
        <v>407</v>
      </c>
    </row>
    <row r="70" spans="2:77" x14ac:dyDescent="0.2">
      <c r="B70" s="1" t="s">
        <v>2088</v>
      </c>
      <c r="M70" s="1" t="s">
        <v>411</v>
      </c>
      <c r="X70" s="1" t="s">
        <v>2091</v>
      </c>
      <c r="AJ70" s="1" t="s">
        <v>418</v>
      </c>
      <c r="AU70" s="1" t="s">
        <v>410</v>
      </c>
      <c r="BE70" s="1" t="s">
        <v>411</v>
      </c>
      <c r="BO70" s="1" t="s">
        <v>415</v>
      </c>
      <c r="BY70" s="1" t="s">
        <v>411</v>
      </c>
    </row>
    <row r="71" spans="2:77" x14ac:dyDescent="0.2">
      <c r="B71" s="1" t="s">
        <v>408</v>
      </c>
      <c r="M71" s="1" t="s">
        <v>412</v>
      </c>
      <c r="X71" s="1" t="s">
        <v>497</v>
      </c>
      <c r="AJ71" s="1" t="s">
        <v>497</v>
      </c>
      <c r="AU71" s="1" t="s">
        <v>415</v>
      </c>
      <c r="BE71" s="1" t="s">
        <v>410</v>
      </c>
      <c r="BO71" s="1" t="s">
        <v>414</v>
      </c>
      <c r="BY71" s="1" t="s">
        <v>410</v>
      </c>
    </row>
    <row r="72" spans="2:77" x14ac:dyDescent="0.2">
      <c r="B72" s="1" t="s">
        <v>413</v>
      </c>
      <c r="M72" s="1" t="s">
        <v>415</v>
      </c>
      <c r="X72" s="1" t="s">
        <v>419</v>
      </c>
      <c r="AJ72" s="1" t="s">
        <v>420</v>
      </c>
      <c r="AU72" s="1" t="s">
        <v>2089</v>
      </c>
      <c r="BE72" s="1" t="s">
        <v>414</v>
      </c>
      <c r="BO72" s="1" t="s">
        <v>408</v>
      </c>
      <c r="BY72" s="1" t="s">
        <v>414</v>
      </c>
    </row>
    <row r="73" spans="2:77" x14ac:dyDescent="0.2">
      <c r="B73" s="1" t="s">
        <v>2090</v>
      </c>
      <c r="M73" s="1" t="s">
        <v>407</v>
      </c>
      <c r="X73" s="1" t="s">
        <v>2092</v>
      </c>
      <c r="AJ73" s="1" t="s">
        <v>419</v>
      </c>
      <c r="AU73" s="1" t="s">
        <v>2090</v>
      </c>
      <c r="BE73" s="1" t="s">
        <v>2088</v>
      </c>
      <c r="BO73" s="1" t="s">
        <v>413</v>
      </c>
      <c r="BY73" s="1" t="s">
        <v>2088</v>
      </c>
    </row>
    <row r="74" spans="2:77" x14ac:dyDescent="0.2">
      <c r="B74" s="1" t="s">
        <v>414</v>
      </c>
      <c r="M74" s="1" t="s">
        <v>495</v>
      </c>
      <c r="X74" s="1" t="s">
        <v>422</v>
      </c>
      <c r="AJ74" s="1" t="s">
        <v>422</v>
      </c>
    </row>
    <row r="75" spans="2:77" x14ac:dyDescent="0.2">
      <c r="X75" s="1" t="s">
        <v>423</v>
      </c>
      <c r="AJ75" s="1" t="s">
        <v>423</v>
      </c>
      <c r="AU75" s="2" t="s">
        <v>2660</v>
      </c>
      <c r="BE75" s="2" t="s">
        <v>2660</v>
      </c>
      <c r="BO75" s="2" t="s">
        <v>2886</v>
      </c>
      <c r="BY75" s="2" t="s">
        <v>2886</v>
      </c>
    </row>
    <row r="76" spans="2:77" x14ac:dyDescent="0.2">
      <c r="B76" s="2" t="s">
        <v>2886</v>
      </c>
      <c r="M76" s="2" t="s">
        <v>496</v>
      </c>
      <c r="X76" s="1" t="s">
        <v>420</v>
      </c>
      <c r="AJ76" s="1" t="s">
        <v>424</v>
      </c>
      <c r="AU76" s="1" t="s">
        <v>421</v>
      </c>
      <c r="BE76" s="1" t="s">
        <v>421</v>
      </c>
      <c r="BO76" s="1" t="s">
        <v>421</v>
      </c>
      <c r="BY76" s="1" t="s">
        <v>421</v>
      </c>
    </row>
    <row r="77" spans="2:77" x14ac:dyDescent="0.2">
      <c r="B77" s="1" t="s">
        <v>421</v>
      </c>
      <c r="M77" s="1" t="s">
        <v>421</v>
      </c>
      <c r="X77" s="1" t="s">
        <v>418</v>
      </c>
      <c r="AJ77" s="1" t="s">
        <v>425</v>
      </c>
      <c r="AU77" s="1" t="s">
        <v>416</v>
      </c>
      <c r="BE77" s="1" t="s">
        <v>418</v>
      </c>
      <c r="BO77" s="1" t="s">
        <v>2887</v>
      </c>
      <c r="BY77" s="1" t="s">
        <v>418</v>
      </c>
    </row>
    <row r="78" spans="2:77" x14ac:dyDescent="0.2">
      <c r="B78" s="1" t="s">
        <v>2091</v>
      </c>
      <c r="M78" s="1" t="s">
        <v>418</v>
      </c>
      <c r="AJ78" s="1" t="s">
        <v>498</v>
      </c>
      <c r="AU78" s="1" t="s">
        <v>2092</v>
      </c>
      <c r="BE78" s="1" t="s">
        <v>497</v>
      </c>
      <c r="BO78" s="1" t="s">
        <v>2092</v>
      </c>
      <c r="BY78" s="1" t="s">
        <v>497</v>
      </c>
    </row>
    <row r="79" spans="2:77" x14ac:dyDescent="0.2">
      <c r="B79" s="1" t="s">
        <v>419</v>
      </c>
      <c r="M79" s="1" t="s">
        <v>497</v>
      </c>
      <c r="X79" s="1" t="s">
        <v>2093</v>
      </c>
      <c r="AU79" s="1" t="s">
        <v>2091</v>
      </c>
      <c r="BE79" s="1" t="s">
        <v>420</v>
      </c>
      <c r="BO79" s="1" t="s">
        <v>419</v>
      </c>
      <c r="BY79" s="1" t="s">
        <v>420</v>
      </c>
    </row>
    <row r="80" spans="2:77" x14ac:dyDescent="0.2">
      <c r="B80" s="1" t="s">
        <v>418</v>
      </c>
      <c r="M80" s="1" t="s">
        <v>420</v>
      </c>
      <c r="X80" s="1" t="s">
        <v>500</v>
      </c>
      <c r="AJ80" s="1" t="s">
        <v>500</v>
      </c>
      <c r="AU80" s="1" t="s">
        <v>422</v>
      </c>
      <c r="BE80" s="1" t="s">
        <v>419</v>
      </c>
      <c r="BO80" s="1" t="s">
        <v>497</v>
      </c>
      <c r="BY80" s="1" t="s">
        <v>419</v>
      </c>
    </row>
    <row r="81" spans="2:77" x14ac:dyDescent="0.2">
      <c r="B81" s="1" t="s">
        <v>2092</v>
      </c>
      <c r="M81" s="1" t="s">
        <v>419</v>
      </c>
      <c r="X81" s="1" t="s">
        <v>430</v>
      </c>
      <c r="AJ81" s="1" t="s">
        <v>501</v>
      </c>
      <c r="AU81" s="1" t="s">
        <v>423</v>
      </c>
      <c r="BE81" s="1" t="s">
        <v>422</v>
      </c>
      <c r="BO81" s="1" t="s">
        <v>2091</v>
      </c>
      <c r="BY81" s="1" t="s">
        <v>422</v>
      </c>
    </row>
    <row r="82" spans="2:77" x14ac:dyDescent="0.2">
      <c r="B82" s="1" t="s">
        <v>422</v>
      </c>
      <c r="M82" s="1" t="s">
        <v>422</v>
      </c>
      <c r="X82" s="1" t="s">
        <v>2094</v>
      </c>
      <c r="AJ82" s="1" t="s">
        <v>430</v>
      </c>
      <c r="AU82" s="1" t="s">
        <v>418</v>
      </c>
      <c r="BE82" s="1" t="s">
        <v>423</v>
      </c>
      <c r="BO82" s="1" t="s">
        <v>418</v>
      </c>
      <c r="BY82" s="1" t="s">
        <v>423</v>
      </c>
    </row>
    <row r="83" spans="2:77" x14ac:dyDescent="0.2">
      <c r="B83" s="1" t="s">
        <v>423</v>
      </c>
      <c r="M83" s="1" t="s">
        <v>423</v>
      </c>
      <c r="X83" s="1" t="s">
        <v>429</v>
      </c>
      <c r="AJ83" s="1" t="s">
        <v>431</v>
      </c>
      <c r="AU83" s="1" t="s">
        <v>420</v>
      </c>
      <c r="BE83" s="1" t="s">
        <v>424</v>
      </c>
      <c r="BO83" s="1" t="s">
        <v>420</v>
      </c>
      <c r="BY83" s="1" t="s">
        <v>424</v>
      </c>
    </row>
    <row r="84" spans="2:77" x14ac:dyDescent="0.2">
      <c r="B84" s="1" t="s">
        <v>420</v>
      </c>
      <c r="M84" s="1" t="s">
        <v>424</v>
      </c>
      <c r="X84" s="1" t="s">
        <v>2095</v>
      </c>
      <c r="AJ84" s="1" t="s">
        <v>432</v>
      </c>
      <c r="AU84" s="1" t="s">
        <v>417</v>
      </c>
      <c r="BE84" s="1" t="s">
        <v>425</v>
      </c>
      <c r="BO84" s="1" t="s">
        <v>422</v>
      </c>
      <c r="BY84" s="1" t="s">
        <v>425</v>
      </c>
    </row>
    <row r="85" spans="2:77" x14ac:dyDescent="0.2">
      <c r="B85" s="1" t="s">
        <v>416</v>
      </c>
      <c r="M85" s="1" t="s">
        <v>425</v>
      </c>
      <c r="X85" s="1" t="s">
        <v>428</v>
      </c>
      <c r="AJ85" s="1" t="s">
        <v>502</v>
      </c>
      <c r="AU85" s="1" t="s">
        <v>497</v>
      </c>
      <c r="BE85" s="1" t="s">
        <v>498</v>
      </c>
      <c r="BO85" s="1" t="s">
        <v>423</v>
      </c>
      <c r="BY85" s="1" t="s">
        <v>498</v>
      </c>
    </row>
    <row r="86" spans="2:77" x14ac:dyDescent="0.2">
      <c r="B86" s="1" t="s">
        <v>417</v>
      </c>
      <c r="M86" s="1" t="s">
        <v>498</v>
      </c>
      <c r="X86" s="1" t="s">
        <v>2096</v>
      </c>
      <c r="AJ86" s="1" t="s">
        <v>428</v>
      </c>
    </row>
    <row r="87" spans="2:77" x14ac:dyDescent="0.2">
      <c r="X87" s="1" t="s">
        <v>2496</v>
      </c>
      <c r="AJ87" s="1" t="s">
        <v>426</v>
      </c>
      <c r="AU87" s="2" t="s">
        <v>2661</v>
      </c>
      <c r="BE87" s="2" t="s">
        <v>2661</v>
      </c>
      <c r="BO87" s="2" t="s">
        <v>2888</v>
      </c>
      <c r="BY87" s="2" t="s">
        <v>2888</v>
      </c>
    </row>
    <row r="88" spans="2:77" x14ac:dyDescent="0.2">
      <c r="B88" s="2" t="s">
        <v>2888</v>
      </c>
      <c r="M88" s="2" t="s">
        <v>499</v>
      </c>
      <c r="X88" s="1" t="s">
        <v>503</v>
      </c>
      <c r="AJ88" s="1" t="s">
        <v>427</v>
      </c>
      <c r="AU88" s="1" t="s">
        <v>2093</v>
      </c>
      <c r="BE88" s="1" t="s">
        <v>500</v>
      </c>
      <c r="BO88" s="1" t="s">
        <v>2093</v>
      </c>
      <c r="BY88" s="1" t="s">
        <v>500</v>
      </c>
    </row>
    <row r="89" spans="2:77" x14ac:dyDescent="0.2">
      <c r="B89" s="1" t="s">
        <v>2093</v>
      </c>
      <c r="M89" s="1" t="s">
        <v>500</v>
      </c>
      <c r="AJ89" s="1" t="s">
        <v>503</v>
      </c>
      <c r="AU89" s="1" t="s">
        <v>500</v>
      </c>
      <c r="BE89" s="1" t="s">
        <v>501</v>
      </c>
      <c r="BO89" s="1" t="s">
        <v>500</v>
      </c>
      <c r="BY89" s="1" t="s">
        <v>2894</v>
      </c>
    </row>
    <row r="90" spans="2:77" x14ac:dyDescent="0.2">
      <c r="B90" s="1" t="s">
        <v>500</v>
      </c>
      <c r="M90" s="1" t="s">
        <v>501</v>
      </c>
      <c r="X90" s="1" t="s">
        <v>438</v>
      </c>
      <c r="AU90" s="1" t="s">
        <v>430</v>
      </c>
      <c r="BE90" s="1" t="s">
        <v>430</v>
      </c>
      <c r="BO90" s="1" t="s">
        <v>430</v>
      </c>
      <c r="BY90" s="1" t="s">
        <v>430</v>
      </c>
    </row>
    <row r="91" spans="2:77" x14ac:dyDescent="0.2">
      <c r="B91" s="1" t="s">
        <v>430</v>
      </c>
      <c r="M91" s="1" t="s">
        <v>430</v>
      </c>
      <c r="X91" s="1" t="s">
        <v>2101</v>
      </c>
      <c r="AJ91" s="1" t="s">
        <v>441</v>
      </c>
      <c r="AU91" s="1" t="s">
        <v>2094</v>
      </c>
      <c r="BE91" s="1" t="s">
        <v>431</v>
      </c>
      <c r="BO91" s="1" t="s">
        <v>2094</v>
      </c>
      <c r="BY91" s="1" t="s">
        <v>431</v>
      </c>
    </row>
    <row r="92" spans="2:77" x14ac:dyDescent="0.2">
      <c r="B92" s="1" t="s">
        <v>2094</v>
      </c>
      <c r="M92" s="1" t="s">
        <v>431</v>
      </c>
      <c r="X92" s="1" t="s">
        <v>433</v>
      </c>
      <c r="AJ92" s="1" t="s">
        <v>434</v>
      </c>
      <c r="AU92" s="1" t="s">
        <v>429</v>
      </c>
      <c r="BE92" s="1" t="s">
        <v>432</v>
      </c>
      <c r="BO92" s="1" t="s">
        <v>429</v>
      </c>
      <c r="BY92" s="1" t="s">
        <v>432</v>
      </c>
    </row>
    <row r="93" spans="2:77" x14ac:dyDescent="0.2">
      <c r="B93" s="1" t="s">
        <v>429</v>
      </c>
      <c r="M93" s="1" t="s">
        <v>432</v>
      </c>
      <c r="X93" s="1" t="s">
        <v>440</v>
      </c>
      <c r="AJ93" s="1" t="s">
        <v>436</v>
      </c>
      <c r="AU93" s="1" t="s">
        <v>2095</v>
      </c>
      <c r="BE93" s="1" t="s">
        <v>502</v>
      </c>
      <c r="BO93" s="1" t="s">
        <v>2095</v>
      </c>
      <c r="BY93" s="1" t="s">
        <v>502</v>
      </c>
    </row>
    <row r="94" spans="2:77" x14ac:dyDescent="0.2">
      <c r="B94" s="1" t="s">
        <v>2095</v>
      </c>
      <c r="M94" s="1" t="s">
        <v>502</v>
      </c>
      <c r="X94" s="1" t="s">
        <v>2100</v>
      </c>
      <c r="AJ94" s="1" t="s">
        <v>505</v>
      </c>
      <c r="AU94" s="1" t="s">
        <v>428</v>
      </c>
      <c r="BE94" s="1" t="s">
        <v>428</v>
      </c>
      <c r="BO94" s="1" t="s">
        <v>428</v>
      </c>
      <c r="BY94" s="1" t="s">
        <v>428</v>
      </c>
    </row>
    <row r="95" spans="2:77" x14ac:dyDescent="0.2">
      <c r="B95" s="1" t="s">
        <v>428</v>
      </c>
      <c r="M95" s="1" t="s">
        <v>428</v>
      </c>
      <c r="X95" s="1" t="s">
        <v>437</v>
      </c>
      <c r="AJ95" s="1" t="s">
        <v>506</v>
      </c>
      <c r="AU95" s="1" t="s">
        <v>2096</v>
      </c>
      <c r="BE95" s="1" t="s">
        <v>426</v>
      </c>
      <c r="BO95" s="1" t="s">
        <v>2096</v>
      </c>
      <c r="BY95" s="1" t="s">
        <v>426</v>
      </c>
    </row>
    <row r="96" spans="2:77" x14ac:dyDescent="0.2">
      <c r="B96" s="1" t="s">
        <v>2096</v>
      </c>
      <c r="M96" s="1" t="s">
        <v>426</v>
      </c>
      <c r="X96" s="1" t="s">
        <v>2097</v>
      </c>
      <c r="AJ96" s="1" t="s">
        <v>433</v>
      </c>
      <c r="AU96" s="1" t="s">
        <v>2496</v>
      </c>
      <c r="BE96" s="1" t="s">
        <v>427</v>
      </c>
      <c r="BO96" s="1" t="s">
        <v>2496</v>
      </c>
      <c r="BY96" s="1" t="s">
        <v>427</v>
      </c>
    </row>
    <row r="97" spans="2:77" x14ac:dyDescent="0.2">
      <c r="B97" s="1" t="s">
        <v>2496</v>
      </c>
      <c r="M97" s="1" t="s">
        <v>427</v>
      </c>
      <c r="X97" s="1" t="s">
        <v>2099</v>
      </c>
      <c r="AJ97" s="1" t="s">
        <v>439</v>
      </c>
      <c r="AU97" s="1" t="s">
        <v>503</v>
      </c>
      <c r="BE97" s="1" t="s">
        <v>503</v>
      </c>
      <c r="BO97" s="1" t="s">
        <v>503</v>
      </c>
      <c r="BY97" s="1" t="s">
        <v>503</v>
      </c>
    </row>
    <row r="98" spans="2:77" x14ac:dyDescent="0.2">
      <c r="B98" s="1" t="s">
        <v>503</v>
      </c>
      <c r="M98" s="1" t="s">
        <v>503</v>
      </c>
      <c r="X98" s="1" t="s">
        <v>2098</v>
      </c>
      <c r="AJ98" s="1" t="s">
        <v>507</v>
      </c>
    </row>
    <row r="99" spans="2:77" x14ac:dyDescent="0.2">
      <c r="X99" s="1" t="s">
        <v>441</v>
      </c>
      <c r="AJ99" s="1" t="s">
        <v>437</v>
      </c>
      <c r="AU99" s="2" t="s">
        <v>2662</v>
      </c>
      <c r="BE99" s="2" t="s">
        <v>2662</v>
      </c>
      <c r="BO99" s="2" t="s">
        <v>2889</v>
      </c>
      <c r="BY99" s="2" t="s">
        <v>2889</v>
      </c>
    </row>
    <row r="100" spans="2:77" x14ac:dyDescent="0.2">
      <c r="B100" s="2" t="s">
        <v>2889</v>
      </c>
      <c r="M100" s="2" t="s">
        <v>504</v>
      </c>
      <c r="AJ100" s="1" t="s">
        <v>435</v>
      </c>
      <c r="AU100" s="1" t="s">
        <v>438</v>
      </c>
      <c r="BE100" s="1" t="s">
        <v>441</v>
      </c>
      <c r="BO100" s="1" t="s">
        <v>438</v>
      </c>
      <c r="BY100" s="1" t="s">
        <v>441</v>
      </c>
    </row>
    <row r="101" spans="2:77" x14ac:dyDescent="0.2">
      <c r="B101" s="1" t="s">
        <v>2098</v>
      </c>
      <c r="M101" s="1" t="s">
        <v>441</v>
      </c>
      <c r="X101" s="1" t="s">
        <v>442</v>
      </c>
      <c r="AU101" s="1" t="s">
        <v>433</v>
      </c>
      <c r="BE101" s="1" t="s">
        <v>434</v>
      </c>
      <c r="BO101" s="1" t="s">
        <v>437</v>
      </c>
      <c r="BY101" s="1" t="s">
        <v>434</v>
      </c>
    </row>
    <row r="102" spans="2:77" x14ac:dyDescent="0.2">
      <c r="B102" s="1" t="s">
        <v>438</v>
      </c>
      <c r="M102" s="1" t="s">
        <v>434</v>
      </c>
      <c r="X102" s="1" t="s">
        <v>444</v>
      </c>
      <c r="AJ102" s="1" t="s">
        <v>442</v>
      </c>
      <c r="AU102" s="1" t="s">
        <v>437</v>
      </c>
      <c r="BE102" s="1" t="s">
        <v>436</v>
      </c>
      <c r="BO102" s="1" t="s">
        <v>2101</v>
      </c>
      <c r="BY102" s="1" t="s">
        <v>2895</v>
      </c>
    </row>
    <row r="103" spans="2:77" x14ac:dyDescent="0.2">
      <c r="B103" s="1" t="s">
        <v>440</v>
      </c>
      <c r="M103" s="1" t="s">
        <v>436</v>
      </c>
      <c r="X103" s="1" t="s">
        <v>2497</v>
      </c>
      <c r="AJ103" s="1" t="s">
        <v>443</v>
      </c>
      <c r="AU103" s="1" t="s">
        <v>441</v>
      </c>
      <c r="BE103" s="1" t="s">
        <v>505</v>
      </c>
      <c r="BO103" s="1" t="s">
        <v>440</v>
      </c>
      <c r="BY103" s="1" t="s">
        <v>505</v>
      </c>
    </row>
    <row r="104" spans="2:77" x14ac:dyDescent="0.2">
      <c r="B104" s="1" t="s">
        <v>2099</v>
      </c>
      <c r="M104" s="1" t="s">
        <v>505</v>
      </c>
      <c r="X104" s="1" t="s">
        <v>2103</v>
      </c>
      <c r="AJ104" s="1" t="s">
        <v>449</v>
      </c>
      <c r="AU104" s="1" t="s">
        <v>2098</v>
      </c>
      <c r="BE104" s="1" t="s">
        <v>506</v>
      </c>
      <c r="BO104" s="1" t="s">
        <v>2099</v>
      </c>
      <c r="BY104" s="1" t="s">
        <v>506</v>
      </c>
    </row>
    <row r="105" spans="2:77" x14ac:dyDescent="0.2">
      <c r="B105" s="1" t="s">
        <v>2097</v>
      </c>
      <c r="M105" s="1" t="s">
        <v>506</v>
      </c>
      <c r="X105" s="1" t="s">
        <v>445</v>
      </c>
      <c r="AJ105" s="1" t="s">
        <v>450</v>
      </c>
      <c r="AU105" s="1" t="s">
        <v>440</v>
      </c>
      <c r="BE105" s="1" t="s">
        <v>433</v>
      </c>
      <c r="BO105" s="1" t="s">
        <v>2097</v>
      </c>
      <c r="BY105" s="1" t="s">
        <v>433</v>
      </c>
    </row>
    <row r="106" spans="2:77" x14ac:dyDescent="0.2">
      <c r="B106" s="1" t="s">
        <v>441</v>
      </c>
      <c r="M106" s="1" t="s">
        <v>433</v>
      </c>
      <c r="X106" s="1" t="s">
        <v>447</v>
      </c>
      <c r="AJ106" s="1" t="s">
        <v>451</v>
      </c>
      <c r="AU106" s="1" t="s">
        <v>2097</v>
      </c>
      <c r="BE106" s="1" t="s">
        <v>439</v>
      </c>
      <c r="BO106" s="1" t="s">
        <v>2100</v>
      </c>
      <c r="BY106" s="1" t="s">
        <v>439</v>
      </c>
    </row>
    <row r="107" spans="2:77" x14ac:dyDescent="0.2">
      <c r="B107" s="1" t="s">
        <v>437</v>
      </c>
      <c r="M107" s="1" t="s">
        <v>439</v>
      </c>
      <c r="X107" s="1" t="s">
        <v>448</v>
      </c>
      <c r="AJ107" s="1" t="s">
        <v>509</v>
      </c>
      <c r="AU107" s="1" t="s">
        <v>2099</v>
      </c>
      <c r="BE107" s="1" t="s">
        <v>507</v>
      </c>
      <c r="BO107" s="1" t="s">
        <v>433</v>
      </c>
      <c r="BY107" s="1" t="s">
        <v>507</v>
      </c>
    </row>
    <row r="108" spans="2:77" x14ac:dyDescent="0.2">
      <c r="B108" s="1" t="s">
        <v>2101</v>
      </c>
      <c r="M108" s="1" t="s">
        <v>507</v>
      </c>
      <c r="X108" s="1" t="s">
        <v>2498</v>
      </c>
      <c r="AJ108" s="1" t="s">
        <v>510</v>
      </c>
      <c r="AU108" s="1" t="s">
        <v>2100</v>
      </c>
      <c r="BE108" s="1" t="s">
        <v>437</v>
      </c>
      <c r="BO108" s="1" t="s">
        <v>2098</v>
      </c>
      <c r="BY108" s="1" t="s">
        <v>437</v>
      </c>
    </row>
    <row r="109" spans="2:77" x14ac:dyDescent="0.2">
      <c r="B109" s="1" t="s">
        <v>433</v>
      </c>
      <c r="M109" s="1" t="s">
        <v>440</v>
      </c>
      <c r="X109" s="1" t="s">
        <v>2499</v>
      </c>
      <c r="AJ109" s="1" t="s">
        <v>445</v>
      </c>
      <c r="AU109" s="1" t="s">
        <v>2101</v>
      </c>
      <c r="BE109" s="1" t="s">
        <v>435</v>
      </c>
      <c r="BO109" s="1" t="s">
        <v>441</v>
      </c>
      <c r="BY109" s="1" t="s">
        <v>435</v>
      </c>
    </row>
    <row r="110" spans="2:77" x14ac:dyDescent="0.2">
      <c r="B110" s="1" t="s">
        <v>2100</v>
      </c>
      <c r="M110" s="1" t="s">
        <v>435</v>
      </c>
      <c r="X110" s="1" t="s">
        <v>2500</v>
      </c>
      <c r="AJ110" s="1" t="s">
        <v>446</v>
      </c>
    </row>
    <row r="111" spans="2:77" x14ac:dyDescent="0.2">
      <c r="AJ111" s="1" t="s">
        <v>447</v>
      </c>
      <c r="AU111" s="2" t="s">
        <v>2663</v>
      </c>
      <c r="BE111" s="2" t="s">
        <v>2663</v>
      </c>
      <c r="BO111" s="2" t="s">
        <v>2890</v>
      </c>
      <c r="BY111" s="2" t="s">
        <v>2890</v>
      </c>
    </row>
    <row r="112" spans="2:77" x14ac:dyDescent="0.2">
      <c r="B112" s="2" t="s">
        <v>2890</v>
      </c>
      <c r="M112" s="2" t="s">
        <v>508</v>
      </c>
      <c r="X112" s="1" t="s">
        <v>454</v>
      </c>
      <c r="AU112" s="1" t="s">
        <v>442</v>
      </c>
      <c r="BE112" s="1" t="s">
        <v>442</v>
      </c>
      <c r="BO112" s="1" t="s">
        <v>442</v>
      </c>
      <c r="BY112" s="1" t="s">
        <v>442</v>
      </c>
    </row>
    <row r="113" spans="2:77" x14ac:dyDescent="0.2">
      <c r="B113" s="1" t="s">
        <v>442</v>
      </c>
      <c r="M113" s="1" t="s">
        <v>442</v>
      </c>
      <c r="X113" s="1" t="s">
        <v>459</v>
      </c>
      <c r="AJ113" s="1" t="s">
        <v>454</v>
      </c>
      <c r="AU113" s="1" t="s">
        <v>2103</v>
      </c>
      <c r="BE113" s="1" t="s">
        <v>443</v>
      </c>
      <c r="BO113" s="1" t="s">
        <v>2497</v>
      </c>
      <c r="BY113" s="1" t="s">
        <v>443</v>
      </c>
    </row>
    <row r="114" spans="2:77" x14ac:dyDescent="0.2">
      <c r="B114" s="1" t="s">
        <v>3042</v>
      </c>
      <c r="M114" s="1" t="s">
        <v>443</v>
      </c>
      <c r="X114" s="1" t="s">
        <v>456</v>
      </c>
      <c r="AJ114" s="1" t="s">
        <v>512</v>
      </c>
      <c r="AU114" s="1" t="s">
        <v>449</v>
      </c>
      <c r="BE114" s="1" t="s">
        <v>449</v>
      </c>
      <c r="BO114" s="1" t="s">
        <v>449</v>
      </c>
      <c r="BY114" s="1" t="s">
        <v>449</v>
      </c>
    </row>
    <row r="115" spans="2:77" x14ac:dyDescent="0.2">
      <c r="B115" s="1" t="s">
        <v>2102</v>
      </c>
      <c r="M115" s="1" t="s">
        <v>449</v>
      </c>
      <c r="X115" s="1" t="s">
        <v>455</v>
      </c>
      <c r="AJ115" s="1" t="s">
        <v>513</v>
      </c>
      <c r="AU115" s="1" t="s">
        <v>451</v>
      </c>
      <c r="BE115" s="1" t="s">
        <v>450</v>
      </c>
      <c r="BO115" s="1" t="s">
        <v>451</v>
      </c>
      <c r="BY115" s="1" t="s">
        <v>450</v>
      </c>
    </row>
    <row r="116" spans="2:77" x14ac:dyDescent="0.2">
      <c r="B116" s="1" t="s">
        <v>509</v>
      </c>
      <c r="M116" s="1" t="s">
        <v>450</v>
      </c>
      <c r="X116" s="1" t="s">
        <v>453</v>
      </c>
      <c r="AJ116" s="1" t="s">
        <v>458</v>
      </c>
      <c r="AU116" s="1" t="s">
        <v>509</v>
      </c>
      <c r="BE116" s="1" t="s">
        <v>451</v>
      </c>
      <c r="BO116" s="1" t="s">
        <v>509</v>
      </c>
      <c r="BY116" s="1" t="s">
        <v>451</v>
      </c>
    </row>
    <row r="117" spans="2:77" x14ac:dyDescent="0.2">
      <c r="B117" s="1" t="s">
        <v>451</v>
      </c>
      <c r="M117" s="1" t="s">
        <v>451</v>
      </c>
      <c r="X117" s="1" t="s">
        <v>2104</v>
      </c>
      <c r="AJ117" s="1" t="s">
        <v>457</v>
      </c>
      <c r="AU117" s="1" t="s">
        <v>445</v>
      </c>
      <c r="BE117" s="1" t="s">
        <v>509</v>
      </c>
      <c r="BO117" s="1" t="s">
        <v>445</v>
      </c>
      <c r="BY117" s="1" t="s">
        <v>509</v>
      </c>
    </row>
    <row r="118" spans="2:77" x14ac:dyDescent="0.2">
      <c r="B118" s="1" t="s">
        <v>449</v>
      </c>
      <c r="M118" s="1" t="s">
        <v>509</v>
      </c>
      <c r="X118" s="1" t="s">
        <v>452</v>
      </c>
      <c r="AJ118" s="1" t="s">
        <v>456</v>
      </c>
      <c r="AU118" s="1" t="s">
        <v>447</v>
      </c>
      <c r="BE118" s="1" t="s">
        <v>510</v>
      </c>
      <c r="BO118" s="1" t="s">
        <v>447</v>
      </c>
      <c r="BY118" s="1" t="s">
        <v>510</v>
      </c>
    </row>
    <row r="119" spans="2:77" x14ac:dyDescent="0.2">
      <c r="B119" s="1" t="s">
        <v>444</v>
      </c>
      <c r="M119" s="1" t="s">
        <v>510</v>
      </c>
      <c r="X119" s="1" t="s">
        <v>460</v>
      </c>
      <c r="AJ119" s="1" t="s">
        <v>455</v>
      </c>
      <c r="AU119" s="1" t="s">
        <v>448</v>
      </c>
      <c r="BE119" s="1" t="s">
        <v>445</v>
      </c>
      <c r="BO119" s="1" t="s">
        <v>448</v>
      </c>
      <c r="BY119" s="1" t="s">
        <v>445</v>
      </c>
    </row>
    <row r="120" spans="2:77" x14ac:dyDescent="0.2">
      <c r="B120" s="1" t="s">
        <v>2497</v>
      </c>
      <c r="M120" s="1" t="s">
        <v>445</v>
      </c>
      <c r="X120" s="1" t="s">
        <v>457</v>
      </c>
      <c r="AJ120" s="1" t="s">
        <v>452</v>
      </c>
      <c r="AU120" s="1" t="s">
        <v>443</v>
      </c>
      <c r="BE120" s="1" t="s">
        <v>446</v>
      </c>
      <c r="BO120" s="1" t="s">
        <v>444</v>
      </c>
      <c r="BY120" s="1" t="s">
        <v>446</v>
      </c>
    </row>
    <row r="121" spans="2:77" x14ac:dyDescent="0.2">
      <c r="B121" s="1" t="s">
        <v>445</v>
      </c>
      <c r="M121" s="1" t="s">
        <v>446</v>
      </c>
      <c r="X121" s="1" t="s">
        <v>458</v>
      </c>
      <c r="AJ121" s="1" t="s">
        <v>453</v>
      </c>
      <c r="AU121" s="1" t="s">
        <v>2102</v>
      </c>
      <c r="BE121" s="1" t="s">
        <v>447</v>
      </c>
      <c r="BO121" s="1" t="s">
        <v>2103</v>
      </c>
      <c r="BY121" s="1" t="s">
        <v>447</v>
      </c>
    </row>
    <row r="122" spans="2:77" x14ac:dyDescent="0.2">
      <c r="B122" s="1" t="s">
        <v>447</v>
      </c>
      <c r="M122" s="1" t="s">
        <v>447</v>
      </c>
      <c r="AJ122" s="1" t="s">
        <v>460</v>
      </c>
    </row>
    <row r="123" spans="2:77" x14ac:dyDescent="0.2">
      <c r="X123" s="1" t="s">
        <v>462</v>
      </c>
      <c r="AU123" s="2" t="s">
        <v>2664</v>
      </c>
      <c r="BE123" s="2" t="s">
        <v>2664</v>
      </c>
      <c r="BO123" s="2" t="s">
        <v>2891</v>
      </c>
      <c r="BY123" s="2" t="s">
        <v>2891</v>
      </c>
    </row>
    <row r="124" spans="2:77" x14ac:dyDescent="0.2">
      <c r="B124" s="2" t="s">
        <v>2891</v>
      </c>
      <c r="M124" s="2" t="s">
        <v>511</v>
      </c>
      <c r="X124" s="1" t="s">
        <v>470</v>
      </c>
      <c r="AJ124" s="1" t="s">
        <v>461</v>
      </c>
      <c r="AU124" s="1" t="s">
        <v>454</v>
      </c>
      <c r="BE124" s="1" t="s">
        <v>454</v>
      </c>
      <c r="BO124" s="1" t="s">
        <v>454</v>
      </c>
      <c r="BY124" s="1" t="s">
        <v>454</v>
      </c>
    </row>
    <row r="125" spans="2:77" x14ac:dyDescent="0.2">
      <c r="B125" s="1" t="s">
        <v>454</v>
      </c>
      <c r="M125" s="1" t="s">
        <v>454</v>
      </c>
      <c r="X125" s="1" t="s">
        <v>465</v>
      </c>
      <c r="AJ125" s="1" t="s">
        <v>470</v>
      </c>
      <c r="AU125" s="1" t="s">
        <v>460</v>
      </c>
      <c r="BE125" s="1" t="s">
        <v>512</v>
      </c>
      <c r="BO125" s="1" t="s">
        <v>459</v>
      </c>
      <c r="BY125" s="1" t="s">
        <v>512</v>
      </c>
    </row>
    <row r="126" spans="2:77" x14ac:dyDescent="0.2">
      <c r="B126" s="1" t="s">
        <v>459</v>
      </c>
      <c r="M126" s="1" t="s">
        <v>512</v>
      </c>
      <c r="X126" s="1" t="s">
        <v>2105</v>
      </c>
      <c r="AJ126" s="1" t="s">
        <v>464</v>
      </c>
      <c r="AU126" s="1" t="s">
        <v>2665</v>
      </c>
      <c r="BE126" s="1" t="s">
        <v>513</v>
      </c>
      <c r="BO126" s="1" t="s">
        <v>456</v>
      </c>
      <c r="BY126" s="1" t="s">
        <v>513</v>
      </c>
    </row>
    <row r="127" spans="2:77" x14ac:dyDescent="0.2">
      <c r="B127" s="1" t="s">
        <v>456</v>
      </c>
      <c r="M127" s="1" t="s">
        <v>513</v>
      </c>
      <c r="X127" s="1" t="s">
        <v>466</v>
      </c>
      <c r="AJ127" s="1" t="s">
        <v>467</v>
      </c>
      <c r="AU127" s="1" t="s">
        <v>452</v>
      </c>
      <c r="BE127" s="1" t="s">
        <v>458</v>
      </c>
      <c r="BO127" s="1" t="s">
        <v>2665</v>
      </c>
      <c r="BY127" s="1" t="s">
        <v>458</v>
      </c>
    </row>
    <row r="128" spans="2:77" x14ac:dyDescent="0.2">
      <c r="B128" s="1" t="s">
        <v>457</v>
      </c>
      <c r="M128" s="1" t="s">
        <v>458</v>
      </c>
      <c r="X128" s="1" t="s">
        <v>463</v>
      </c>
      <c r="AJ128" s="1" t="s">
        <v>468</v>
      </c>
      <c r="AU128" s="1" t="s">
        <v>458</v>
      </c>
      <c r="BE128" s="1" t="s">
        <v>457</v>
      </c>
      <c r="BO128" s="1" t="s">
        <v>453</v>
      </c>
      <c r="BY128" s="1" t="s">
        <v>457</v>
      </c>
    </row>
    <row r="129" spans="2:77" x14ac:dyDescent="0.2">
      <c r="B129" s="1" t="s">
        <v>460</v>
      </c>
      <c r="M129" s="1" t="s">
        <v>457</v>
      </c>
      <c r="X129" s="1" t="s">
        <v>467</v>
      </c>
      <c r="AJ129" s="1" t="s">
        <v>465</v>
      </c>
      <c r="AU129" s="1" t="s">
        <v>459</v>
      </c>
      <c r="BE129" s="1" t="s">
        <v>456</v>
      </c>
      <c r="BO129" s="1" t="s">
        <v>2104</v>
      </c>
      <c r="BY129" s="1" t="s">
        <v>456</v>
      </c>
    </row>
    <row r="130" spans="2:77" x14ac:dyDescent="0.2">
      <c r="B130" s="1" t="s">
        <v>452</v>
      </c>
      <c r="M130" s="1" t="s">
        <v>456</v>
      </c>
      <c r="X130" s="1" t="s">
        <v>2106</v>
      </c>
      <c r="AJ130" s="1" t="s">
        <v>463</v>
      </c>
      <c r="AU130" s="1" t="s">
        <v>455</v>
      </c>
      <c r="BE130" s="1" t="s">
        <v>455</v>
      </c>
      <c r="BO130" s="1" t="s">
        <v>457</v>
      </c>
      <c r="BY130" s="1" t="s">
        <v>455</v>
      </c>
    </row>
    <row r="131" spans="2:77" x14ac:dyDescent="0.2">
      <c r="B131" s="1" t="s">
        <v>453</v>
      </c>
      <c r="M131" s="1" t="s">
        <v>455</v>
      </c>
      <c r="X131" s="1" t="s">
        <v>464</v>
      </c>
      <c r="AJ131" s="1" t="s">
        <v>469</v>
      </c>
      <c r="AU131" s="1" t="s">
        <v>456</v>
      </c>
      <c r="BE131" s="1" t="s">
        <v>452</v>
      </c>
      <c r="BO131" s="1" t="s">
        <v>455</v>
      </c>
      <c r="BY131" s="1" t="s">
        <v>452</v>
      </c>
    </row>
    <row r="132" spans="2:77" x14ac:dyDescent="0.2">
      <c r="B132" s="1" t="s">
        <v>2104</v>
      </c>
      <c r="M132" s="1" t="s">
        <v>452</v>
      </c>
      <c r="X132" s="1" t="s">
        <v>2501</v>
      </c>
      <c r="AJ132" s="1" t="s">
        <v>462</v>
      </c>
      <c r="AU132" s="1" t="s">
        <v>2104</v>
      </c>
      <c r="BE132" s="1" t="s">
        <v>453</v>
      </c>
      <c r="BO132" s="1" t="s">
        <v>460</v>
      </c>
      <c r="BY132" s="1" t="s">
        <v>453</v>
      </c>
    </row>
    <row r="133" spans="2:77" x14ac:dyDescent="0.2">
      <c r="B133" s="1" t="s">
        <v>2665</v>
      </c>
      <c r="M133" s="1" t="s">
        <v>453</v>
      </c>
      <c r="X133" s="1" t="s">
        <v>132</v>
      </c>
      <c r="AJ133" s="1" t="s">
        <v>2503</v>
      </c>
      <c r="AU133" s="1" t="s">
        <v>453</v>
      </c>
      <c r="BE133" s="1" t="s">
        <v>460</v>
      </c>
      <c r="BO133" s="1" t="s">
        <v>458</v>
      </c>
      <c r="BY133" s="1" t="s">
        <v>460</v>
      </c>
    </row>
    <row r="134" spans="2:77" x14ac:dyDescent="0.2">
      <c r="B134" s="1" t="s">
        <v>455</v>
      </c>
      <c r="M134" s="1" t="s">
        <v>460</v>
      </c>
      <c r="X134" s="1"/>
      <c r="AJ134" s="1" t="s">
        <v>132</v>
      </c>
    </row>
    <row r="135" spans="2:77" x14ac:dyDescent="0.2">
      <c r="AU135" s="2" t="s">
        <v>2666</v>
      </c>
      <c r="BE135" s="2" t="s">
        <v>2666</v>
      </c>
      <c r="BO135" s="2" t="s">
        <v>2892</v>
      </c>
      <c r="BY135" s="2" t="s">
        <v>2892</v>
      </c>
    </row>
    <row r="136" spans="2:77" x14ac:dyDescent="0.2">
      <c r="B136" s="2" t="s">
        <v>2892</v>
      </c>
      <c r="M136" s="2" t="s">
        <v>514</v>
      </c>
      <c r="AU136" s="1" t="s">
        <v>466</v>
      </c>
      <c r="BE136" s="1" t="s">
        <v>461</v>
      </c>
      <c r="BO136" s="1" t="s">
        <v>2106</v>
      </c>
      <c r="BY136" s="1" t="s">
        <v>461</v>
      </c>
    </row>
    <row r="137" spans="2:77" x14ac:dyDescent="0.2">
      <c r="B137" s="1" t="s">
        <v>463</v>
      </c>
      <c r="M137" s="1" t="s">
        <v>461</v>
      </c>
      <c r="AU137" s="1" t="s">
        <v>467</v>
      </c>
      <c r="BE137" s="1" t="s">
        <v>470</v>
      </c>
      <c r="BO137" s="1" t="s">
        <v>467</v>
      </c>
      <c r="BY137" s="1" t="s">
        <v>470</v>
      </c>
    </row>
    <row r="138" spans="2:77" x14ac:dyDescent="0.2">
      <c r="B138" s="1" t="s">
        <v>464</v>
      </c>
      <c r="M138" s="1" t="s">
        <v>470</v>
      </c>
      <c r="AU138" s="1" t="s">
        <v>464</v>
      </c>
      <c r="BE138" s="1" t="s">
        <v>464</v>
      </c>
      <c r="BO138" s="1" t="s">
        <v>465</v>
      </c>
      <c r="BY138" s="1" t="s">
        <v>464</v>
      </c>
    </row>
    <row r="139" spans="2:77" x14ac:dyDescent="0.2">
      <c r="B139" s="1" t="s">
        <v>470</v>
      </c>
      <c r="M139" s="1" t="s">
        <v>464</v>
      </c>
      <c r="AU139" s="1" t="s">
        <v>463</v>
      </c>
      <c r="BE139" s="1" t="s">
        <v>467</v>
      </c>
      <c r="BO139" s="1" t="s">
        <v>2105</v>
      </c>
      <c r="BY139" s="1" t="s">
        <v>467</v>
      </c>
    </row>
    <row r="140" spans="2:77" x14ac:dyDescent="0.2">
      <c r="B140" s="1" t="s">
        <v>467</v>
      </c>
      <c r="M140" s="1" t="s">
        <v>467</v>
      </c>
      <c r="AU140" s="1" t="s">
        <v>462</v>
      </c>
      <c r="BE140" s="1" t="s">
        <v>468</v>
      </c>
      <c r="BO140" s="1" t="s">
        <v>466</v>
      </c>
      <c r="BY140" s="1" t="s">
        <v>468</v>
      </c>
    </row>
    <row r="141" spans="2:77" x14ac:dyDescent="0.2">
      <c r="B141" s="1" t="s">
        <v>2107</v>
      </c>
      <c r="M141" s="1" t="s">
        <v>468</v>
      </c>
      <c r="AU141" s="1" t="s">
        <v>470</v>
      </c>
      <c r="BE141" s="1" t="s">
        <v>465</v>
      </c>
      <c r="BO141" s="1" t="s">
        <v>462</v>
      </c>
      <c r="BY141" s="1" t="s">
        <v>465</v>
      </c>
    </row>
    <row r="142" spans="2:77" x14ac:dyDescent="0.2">
      <c r="B142" s="1" t="s">
        <v>462</v>
      </c>
      <c r="M142" s="1" t="s">
        <v>465</v>
      </c>
      <c r="AU142" s="1" t="s">
        <v>2106</v>
      </c>
      <c r="BE142" s="1" t="s">
        <v>463</v>
      </c>
      <c r="BO142" s="1" t="s">
        <v>463</v>
      </c>
      <c r="BY142" s="1" t="s">
        <v>463</v>
      </c>
    </row>
    <row r="143" spans="2:77" x14ac:dyDescent="0.2">
      <c r="B143" s="1" t="s">
        <v>2106</v>
      </c>
      <c r="M143" s="1" t="s">
        <v>463</v>
      </c>
      <c r="AU143" s="1" t="s">
        <v>465</v>
      </c>
      <c r="BE143" s="1" t="s">
        <v>469</v>
      </c>
      <c r="BO143" s="1" t="s">
        <v>470</v>
      </c>
      <c r="BY143" s="1" t="s">
        <v>469</v>
      </c>
    </row>
    <row r="144" spans="2:77" x14ac:dyDescent="0.2">
      <c r="B144" s="1" t="s">
        <v>465</v>
      </c>
      <c r="M144" s="1" t="s">
        <v>469</v>
      </c>
      <c r="AU144" s="1" t="s">
        <v>2107</v>
      </c>
      <c r="BE144" s="1" t="s">
        <v>462</v>
      </c>
      <c r="BO144" s="1" t="s">
        <v>464</v>
      </c>
      <c r="BY144" s="1" t="s">
        <v>462</v>
      </c>
    </row>
    <row r="145" spans="2:77" x14ac:dyDescent="0.2">
      <c r="B145" s="1" t="s">
        <v>2105</v>
      </c>
      <c r="M145" s="1" t="s">
        <v>462</v>
      </c>
      <c r="AU145" s="1" t="s">
        <v>2105</v>
      </c>
      <c r="BE145" s="1" t="s">
        <v>466</v>
      </c>
      <c r="BO145" s="1" t="s">
        <v>2501</v>
      </c>
      <c r="BY145" s="1" t="s">
        <v>2503</v>
      </c>
    </row>
    <row r="146" spans="2:77" x14ac:dyDescent="0.2">
      <c r="B146" s="1" t="s">
        <v>466</v>
      </c>
      <c r="M146" s="1" t="s">
        <v>466</v>
      </c>
      <c r="AU146" s="1" t="s">
        <v>132</v>
      </c>
      <c r="BE146" s="1" t="s">
        <v>132</v>
      </c>
      <c r="BO146" s="1" t="s">
        <v>132</v>
      </c>
      <c r="BY146" s="1" t="s">
        <v>132</v>
      </c>
    </row>
    <row r="147" spans="2:77" x14ac:dyDescent="0.2">
      <c r="M147" s="1" t="s">
        <v>132</v>
      </c>
    </row>
    <row r="148" spans="2:77" x14ac:dyDescent="0.2">
      <c r="B148" s="1" t="s">
        <v>132</v>
      </c>
    </row>
  </sheetData>
  <phoneticPr fontId="1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9D2A-274F-8547-9934-E9A4D55EA618}">
  <dimension ref="B1:CG146"/>
  <sheetViews>
    <sheetView topLeftCell="BV1" zoomScale="80" zoomScaleNormal="80" workbookViewId="0">
      <selection activeCell="CE24" sqref="CE16:CE24"/>
    </sheetView>
  </sheetViews>
  <sheetFormatPr baseColWidth="10" defaultRowHeight="16" x14ac:dyDescent="0.2"/>
  <cols>
    <col min="8" max="8" width="13.6640625" bestFit="1" customWidth="1"/>
    <col min="9" max="9" width="14.1640625" bestFit="1" customWidth="1"/>
    <col min="18" max="18" width="14.1640625" bestFit="1" customWidth="1"/>
    <col min="19" max="19" width="13.83203125" bestFit="1" customWidth="1"/>
    <col min="20" max="20" width="14.1640625" bestFit="1" customWidth="1"/>
  </cols>
  <sheetData>
    <row r="1" spans="2:85" x14ac:dyDescent="0.2">
      <c r="I1" t="s">
        <v>168</v>
      </c>
      <c r="J1" s="5">
        <f>0.03</f>
        <v>0.03</v>
      </c>
      <c r="X1" s="20">
        <v>0.2</v>
      </c>
      <c r="AT1" s="20" t="s">
        <v>2648</v>
      </c>
      <c r="BN1" s="20" t="s">
        <v>2875</v>
      </c>
    </row>
    <row r="2" spans="2:85" x14ac:dyDescent="0.2">
      <c r="B2" s="1" t="s">
        <v>1440</v>
      </c>
      <c r="M2" s="1" t="s">
        <v>475</v>
      </c>
      <c r="X2" s="1" t="s">
        <v>2504</v>
      </c>
      <c r="AF2" t="s">
        <v>471</v>
      </c>
      <c r="AG2" t="s">
        <v>661</v>
      </c>
      <c r="AH2" t="s">
        <v>180</v>
      </c>
      <c r="AJ2" s="1" t="s">
        <v>2513</v>
      </c>
      <c r="AQ2" t="s">
        <v>471</v>
      </c>
      <c r="AR2" t="s">
        <v>661</v>
      </c>
      <c r="AS2" t="s">
        <v>180</v>
      </c>
      <c r="AT2" s="1" t="s">
        <v>2669</v>
      </c>
      <c r="BA2" t="s">
        <v>471</v>
      </c>
      <c r="BB2" t="s">
        <v>661</v>
      </c>
      <c r="BC2" t="s">
        <v>180</v>
      </c>
      <c r="BD2" s="1" t="s">
        <v>2693</v>
      </c>
      <c r="BK2" t="s">
        <v>471</v>
      </c>
      <c r="BL2" t="s">
        <v>661</v>
      </c>
      <c r="BM2" t="s">
        <v>180</v>
      </c>
      <c r="BN2" s="1" t="s">
        <v>2896</v>
      </c>
      <c r="BU2" t="s">
        <v>471</v>
      </c>
      <c r="BV2" t="s">
        <v>661</v>
      </c>
      <c r="BW2" t="s">
        <v>180</v>
      </c>
      <c r="BX2" s="1" t="s">
        <v>2917</v>
      </c>
      <c r="CE2" t="s">
        <v>471</v>
      </c>
      <c r="CF2" t="s">
        <v>661</v>
      </c>
      <c r="CG2" t="s">
        <v>180</v>
      </c>
    </row>
    <row r="3" spans="2:85" x14ac:dyDescent="0.2">
      <c r="B3" s="1" t="s">
        <v>1441</v>
      </c>
      <c r="I3" t="s">
        <v>471</v>
      </c>
      <c r="J3" t="s">
        <v>661</v>
      </c>
      <c r="K3" t="s">
        <v>180</v>
      </c>
      <c r="M3" s="2" t="s">
        <v>620</v>
      </c>
      <c r="T3" t="s">
        <v>471</v>
      </c>
      <c r="U3" t="s">
        <v>661</v>
      </c>
      <c r="V3" t="s">
        <v>180</v>
      </c>
      <c r="X3" s="1" t="s">
        <v>519</v>
      </c>
      <c r="AG3">
        <v>100</v>
      </c>
      <c r="AH3" s="5">
        <f>AF5</f>
        <v>-3.8100000000000002E-2</v>
      </c>
      <c r="AJ3" s="2" t="s">
        <v>2514</v>
      </c>
      <c r="AR3">
        <v>100</v>
      </c>
      <c r="AT3" s="2" t="s">
        <v>2670</v>
      </c>
      <c r="BB3">
        <v>100</v>
      </c>
      <c r="BD3" s="2" t="s">
        <v>2670</v>
      </c>
      <c r="BL3">
        <v>100</v>
      </c>
      <c r="BN3" s="2" t="s">
        <v>2897</v>
      </c>
      <c r="BV3">
        <v>100</v>
      </c>
      <c r="BX3" s="2" t="s">
        <v>2897</v>
      </c>
      <c r="CF3">
        <v>100</v>
      </c>
    </row>
    <row r="4" spans="2:85" x14ac:dyDescent="0.2">
      <c r="B4" s="1" t="s">
        <v>1442</v>
      </c>
      <c r="J4">
        <v>100</v>
      </c>
      <c r="M4" s="1" t="s">
        <v>519</v>
      </c>
      <c r="U4">
        <v>100</v>
      </c>
      <c r="X4" s="1" t="s">
        <v>522</v>
      </c>
      <c r="AF4" s="19">
        <v>2.7099999999999999E-2</v>
      </c>
      <c r="AG4">
        <f>AG3*(1+AF4)</f>
        <v>102.71</v>
      </c>
      <c r="AH4" s="5">
        <f>AF6</f>
        <v>-3.0999999999999999E-3</v>
      </c>
      <c r="AJ4" s="1" t="s">
        <v>519</v>
      </c>
      <c r="AQ4" s="19">
        <v>3.7499999999999999E-2</v>
      </c>
      <c r="AR4">
        <f>AR3*(1+AQ4)</f>
        <v>103.75000000000001</v>
      </c>
      <c r="AS4" s="5"/>
      <c r="AT4" s="1" t="s">
        <v>519</v>
      </c>
      <c r="BA4" s="19">
        <v>2.7099999999999999E-2</v>
      </c>
      <c r="BB4">
        <f>BB3*(1+BA4)</f>
        <v>102.71</v>
      </c>
      <c r="BC4" s="5"/>
      <c r="BD4" s="1" t="s">
        <v>519</v>
      </c>
      <c r="BK4" s="19">
        <v>3.7499999999999999E-2</v>
      </c>
      <c r="BL4">
        <f>BL3*(1+BK4)</f>
        <v>103.75000000000001</v>
      </c>
      <c r="BM4" s="5">
        <f>BK5</f>
        <v>-2.3E-2</v>
      </c>
      <c r="BN4" s="1" t="s">
        <v>519</v>
      </c>
      <c r="BU4" s="19">
        <v>2.7099999999999999E-2</v>
      </c>
      <c r="BV4">
        <f>BV3*(1+BU4)</f>
        <v>102.71</v>
      </c>
      <c r="BW4" s="5">
        <f>BU5</f>
        <v>-3.8100000000000002E-2</v>
      </c>
      <c r="BX4" s="1" t="s">
        <v>519</v>
      </c>
      <c r="CE4" s="19">
        <v>3.7499999999999999E-2</v>
      </c>
      <c r="CF4">
        <f>CF3*(1+CE4)</f>
        <v>103.75000000000001</v>
      </c>
      <c r="CG4" s="5">
        <f>CE5</f>
        <v>-2.3E-2</v>
      </c>
    </row>
    <row r="5" spans="2:85" x14ac:dyDescent="0.2">
      <c r="B5" s="1" t="s">
        <v>1443</v>
      </c>
      <c r="I5" s="19">
        <v>2.8500000000000001E-2</v>
      </c>
      <c r="J5">
        <f>J4*(1+I5)</f>
        <v>102.85</v>
      </c>
      <c r="K5" s="5">
        <f t="shared" ref="K5:K10" si="0">I6</f>
        <v>-3.4200000000000001E-2</v>
      </c>
      <c r="M5" s="1" t="s">
        <v>522</v>
      </c>
      <c r="T5" s="19">
        <v>4.7800000000000002E-2</v>
      </c>
      <c r="U5">
        <f>U4*(1+T5)</f>
        <v>104.78</v>
      </c>
      <c r="V5" s="5">
        <f>T6</f>
        <v>-2.3E-2</v>
      </c>
      <c r="X5" s="1" t="s">
        <v>523</v>
      </c>
      <c r="AF5" s="19">
        <v>-3.8100000000000002E-2</v>
      </c>
      <c r="AG5">
        <f t="shared" ref="AG5:AG15" si="1">AG4*(1+AF5)</f>
        <v>98.796748999999991</v>
      </c>
      <c r="AH5" s="5">
        <f>AF7</f>
        <v>-2.9999999999999997E-4</v>
      </c>
      <c r="AJ5" s="1" t="s">
        <v>515</v>
      </c>
      <c r="AQ5" s="19">
        <v>-2.3E-2</v>
      </c>
      <c r="AR5">
        <f t="shared" ref="AR5:AR15" si="2">AR4*(1+AQ5)</f>
        <v>101.36375000000001</v>
      </c>
      <c r="AS5" s="5">
        <f>AQ5</f>
        <v>-2.3E-2</v>
      </c>
      <c r="AT5" s="1" t="s">
        <v>522</v>
      </c>
      <c r="BA5" s="19">
        <v>-3.8100000000000002E-2</v>
      </c>
      <c r="BB5">
        <f t="shared" ref="BB5:BB15" si="3">BB4*(1+BA5)</f>
        <v>98.796748999999991</v>
      </c>
      <c r="BC5" s="5">
        <f>BA5</f>
        <v>-3.8100000000000002E-2</v>
      </c>
      <c r="BD5" s="1" t="s">
        <v>515</v>
      </c>
      <c r="BK5" s="19">
        <v>-2.3E-2</v>
      </c>
      <c r="BL5">
        <f t="shared" ref="BL5:BL15" si="4">BL4*(1+BK5)</f>
        <v>101.36375000000001</v>
      </c>
      <c r="BM5" s="5">
        <f>BK8</f>
        <v>-1E-4</v>
      </c>
      <c r="BN5" s="1" t="s">
        <v>522</v>
      </c>
      <c r="BU5" s="19">
        <v>-3.8100000000000002E-2</v>
      </c>
      <c r="BV5">
        <f t="shared" ref="BV5:BV15" si="5">BV4*(1+BU5)</f>
        <v>98.796748999999991</v>
      </c>
      <c r="BW5" s="5">
        <f>BU7</f>
        <v>-2.9999999999999997E-4</v>
      </c>
      <c r="BX5" s="1" t="s">
        <v>515</v>
      </c>
      <c r="CE5" s="19">
        <v>-2.3E-2</v>
      </c>
      <c r="CF5">
        <f t="shared" ref="CF5:CF15" si="6">CF4*(1+CE5)</f>
        <v>101.36375000000001</v>
      </c>
      <c r="CG5" s="5">
        <f>CE8</f>
        <v>-1.17E-2</v>
      </c>
    </row>
    <row r="6" spans="2:85" x14ac:dyDescent="0.2">
      <c r="B6" s="1" t="s">
        <v>1444</v>
      </c>
      <c r="I6" s="19">
        <v>-3.4200000000000001E-2</v>
      </c>
      <c r="J6">
        <f t="shared" ref="J6:J16" si="7">J5*(1+I6)</f>
        <v>99.332529999999991</v>
      </c>
      <c r="K6" s="5">
        <f t="shared" si="0"/>
        <v>1.2999999999999999E-3</v>
      </c>
      <c r="M6" s="1" t="s">
        <v>516</v>
      </c>
      <c r="T6" s="19">
        <v>-2.3E-2</v>
      </c>
      <c r="U6">
        <f t="shared" ref="U6:U16" si="8">U5*(1+T6)</f>
        <v>102.37006</v>
      </c>
      <c r="V6" s="5">
        <f>T8</f>
        <v>1.34E-2</v>
      </c>
      <c r="X6" s="1" t="s">
        <v>516</v>
      </c>
      <c r="AF6" s="19">
        <v>-3.0999999999999999E-3</v>
      </c>
      <c r="AG6">
        <f t="shared" si="1"/>
        <v>98.490479078099995</v>
      </c>
      <c r="AH6" s="5">
        <f>AF10</f>
        <v>-7.6E-3</v>
      </c>
      <c r="AJ6" s="1" t="s">
        <v>520</v>
      </c>
      <c r="AQ6" s="19">
        <v>2.5000000000000001E-3</v>
      </c>
      <c r="AR6">
        <f t="shared" si="2"/>
        <v>101.617159375</v>
      </c>
      <c r="AS6" s="5">
        <f>AQ8</f>
        <v>-7.1000000000000004E-3</v>
      </c>
      <c r="AT6" s="1" t="s">
        <v>523</v>
      </c>
      <c r="BA6" s="19">
        <v>-3.3E-3</v>
      </c>
      <c r="BB6">
        <f t="shared" si="3"/>
        <v>98.470719728299997</v>
      </c>
      <c r="BC6" s="5">
        <f>BA6</f>
        <v>-3.3E-3</v>
      </c>
      <c r="BD6" s="1" t="s">
        <v>520</v>
      </c>
      <c r="BK6" s="19">
        <v>2.5000000000000001E-3</v>
      </c>
      <c r="BL6">
        <f t="shared" si="4"/>
        <v>101.617159375</v>
      </c>
      <c r="BM6" s="5">
        <f>BK10</f>
        <v>-1.1599999999999999E-2</v>
      </c>
      <c r="BN6" s="1" t="s">
        <v>523</v>
      </c>
      <c r="BU6" s="19">
        <v>4.1999999999999997E-3</v>
      </c>
      <c r="BV6">
        <f t="shared" si="5"/>
        <v>99.211695345799995</v>
      </c>
      <c r="BW6" s="5">
        <f>BU10</f>
        <v>-1.01E-2</v>
      </c>
      <c r="BX6" s="1" t="s">
        <v>520</v>
      </c>
      <c r="CE6" s="19">
        <v>2.5000000000000001E-3</v>
      </c>
      <c r="CF6">
        <f t="shared" si="6"/>
        <v>101.617159375</v>
      </c>
      <c r="CG6" s="5">
        <f>CE10</f>
        <v>-1.1599999999999999E-2</v>
      </c>
    </row>
    <row r="7" spans="2:85" x14ac:dyDescent="0.2">
      <c r="B7" s="1" t="s">
        <v>1445</v>
      </c>
      <c r="I7" s="19">
        <v>1.2999999999999999E-3</v>
      </c>
      <c r="J7">
        <f t="shared" si="7"/>
        <v>99.461662289000003</v>
      </c>
      <c r="K7" s="5">
        <f t="shared" si="0"/>
        <v>1.52E-2</v>
      </c>
      <c r="M7" s="1" t="s">
        <v>517</v>
      </c>
      <c r="T7" s="19">
        <v>2.5000000000000001E-3</v>
      </c>
      <c r="U7">
        <f t="shared" si="8"/>
        <v>102.62598514999999</v>
      </c>
      <c r="V7" s="5">
        <f>T9</f>
        <v>-1.0800000000000001E-2</v>
      </c>
      <c r="X7" s="1" t="s">
        <v>517</v>
      </c>
      <c r="AF7" s="19">
        <v>-2.9999999999999997E-4</v>
      </c>
      <c r="AG7">
        <f t="shared" si="1"/>
        <v>98.460931934376575</v>
      </c>
      <c r="AH7" s="5">
        <f>AF12</f>
        <v>-8.0000000000000004E-4</v>
      </c>
      <c r="AJ7" s="1" t="s">
        <v>521</v>
      </c>
      <c r="AQ7" s="19">
        <v>1.34E-2</v>
      </c>
      <c r="AR7">
        <f t="shared" si="2"/>
        <v>102.978829310625</v>
      </c>
      <c r="AS7" s="5">
        <f>AQ10</f>
        <v>-1.1599999999999999E-2</v>
      </c>
      <c r="AT7" s="1" t="s">
        <v>516</v>
      </c>
      <c r="BA7" s="19">
        <v>-2.9999999999999997E-4</v>
      </c>
      <c r="BB7">
        <f t="shared" si="3"/>
        <v>98.441178512381512</v>
      </c>
      <c r="BC7" s="5">
        <f>BA10</f>
        <v>-7.3000000000000001E-3</v>
      </c>
      <c r="BD7" s="1" t="s">
        <v>521</v>
      </c>
      <c r="BK7" s="19">
        <v>1.34E-2</v>
      </c>
      <c r="BL7">
        <f t="shared" si="4"/>
        <v>102.978829310625</v>
      </c>
      <c r="BM7" s="5">
        <f>BK12</f>
        <v>-1.4E-3</v>
      </c>
      <c r="BN7" s="1" t="s">
        <v>516</v>
      </c>
      <c r="BU7" s="19">
        <v>-2.9999999999999997E-4</v>
      </c>
      <c r="BV7">
        <f t="shared" si="5"/>
        <v>99.181931837196259</v>
      </c>
      <c r="BW7" s="5"/>
      <c r="BX7" s="1" t="s">
        <v>521</v>
      </c>
      <c r="CE7" s="19">
        <v>1.34E-2</v>
      </c>
      <c r="CF7">
        <f t="shared" si="6"/>
        <v>102.978829310625</v>
      </c>
      <c r="CG7" s="5">
        <f>CE12</f>
        <v>-1.4E-3</v>
      </c>
    </row>
    <row r="8" spans="2:85" x14ac:dyDescent="0.2">
      <c r="B8" s="1" t="s">
        <v>1446</v>
      </c>
      <c r="I8" s="19">
        <v>1.52E-2</v>
      </c>
      <c r="J8">
        <f t="shared" si="7"/>
        <v>100.97347955579281</v>
      </c>
      <c r="K8" s="5">
        <f t="shared" si="0"/>
        <v>-6.4000000000000003E-3</v>
      </c>
      <c r="M8" s="1" t="s">
        <v>518</v>
      </c>
      <c r="T8" s="19">
        <v>1.34E-2</v>
      </c>
      <c r="U8">
        <f t="shared" si="8"/>
        <v>104.00117335101</v>
      </c>
      <c r="V8" s="5">
        <f>T10</f>
        <v>1.6000000000000001E-3</v>
      </c>
      <c r="X8" s="1" t="s">
        <v>518</v>
      </c>
      <c r="AF8" s="19">
        <v>1.6199999999999999E-2</v>
      </c>
      <c r="AG8">
        <f t="shared" si="1"/>
        <v>100.05599903171347</v>
      </c>
      <c r="AH8" s="5">
        <f>AF15</f>
        <v>-3.3700000000000001E-2</v>
      </c>
      <c r="AJ8" s="1" t="s">
        <v>522</v>
      </c>
      <c r="AQ8" s="19">
        <v>-7.1000000000000004E-3</v>
      </c>
      <c r="AR8">
        <f t="shared" si="2"/>
        <v>102.24767962251957</v>
      </c>
      <c r="AS8" s="5">
        <f>AQ12</f>
        <v>-1.4E-3</v>
      </c>
      <c r="AT8" s="1" t="s">
        <v>517</v>
      </c>
      <c r="BA8" s="19">
        <v>1.3899999999999999E-2</v>
      </c>
      <c r="BB8">
        <f t="shared" si="3"/>
        <v>99.809510893703617</v>
      </c>
      <c r="BC8" s="5">
        <f>BA15</f>
        <v>-3.5400000000000001E-2</v>
      </c>
      <c r="BD8" s="1" t="s">
        <v>522</v>
      </c>
      <c r="BK8" s="19">
        <v>-1E-4</v>
      </c>
      <c r="BL8">
        <f t="shared" si="4"/>
        <v>102.96853142769395</v>
      </c>
      <c r="BM8" s="5">
        <f>BK13</f>
        <v>-9.4000000000000004E-3</v>
      </c>
      <c r="BN8" s="1" t="s">
        <v>517</v>
      </c>
      <c r="BU8" s="19">
        <v>7.4999999999999997E-3</v>
      </c>
      <c r="BV8">
        <f t="shared" si="5"/>
        <v>99.925796325975242</v>
      </c>
      <c r="BW8" s="5">
        <f>BU13</f>
        <v>-7.1000000000000004E-3</v>
      </c>
      <c r="BX8" s="1" t="s">
        <v>522</v>
      </c>
      <c r="CE8" s="19">
        <v>-1.17E-2</v>
      </c>
      <c r="CF8">
        <f t="shared" si="6"/>
        <v>101.77397700769069</v>
      </c>
      <c r="CG8" s="5">
        <f>CE13</f>
        <v>-9.4000000000000004E-3</v>
      </c>
    </row>
    <row r="9" spans="2:85" x14ac:dyDescent="0.2">
      <c r="B9" s="1" t="s">
        <v>1447</v>
      </c>
      <c r="I9" s="19">
        <v>-6.4000000000000003E-3</v>
      </c>
      <c r="J9">
        <f t="shared" si="7"/>
        <v>100.32724928663573</v>
      </c>
      <c r="K9" s="5">
        <f t="shared" si="0"/>
        <v>-6.6E-3</v>
      </c>
      <c r="M9" s="1" t="s">
        <v>515</v>
      </c>
      <c r="T9" s="19">
        <v>-1.0800000000000001E-2</v>
      </c>
      <c r="U9">
        <f t="shared" si="8"/>
        <v>102.87796067881908</v>
      </c>
      <c r="V9" s="5">
        <f>T11</f>
        <v>-1.1599999999999999E-2</v>
      </c>
      <c r="X9" s="1" t="s">
        <v>2116</v>
      </c>
      <c r="AF9" s="19">
        <v>5.0000000000000001E-4</v>
      </c>
      <c r="AG9">
        <f t="shared" si="1"/>
        <v>100.10602703122932</v>
      </c>
      <c r="AJ9" s="1" t="s">
        <v>518</v>
      </c>
      <c r="AQ9" s="19">
        <v>1.6000000000000001E-3</v>
      </c>
      <c r="AR9">
        <f t="shared" si="2"/>
        <v>102.4112759099156</v>
      </c>
      <c r="AS9" s="5">
        <f>AQ15</f>
        <v>-4.8599999999999997E-2</v>
      </c>
      <c r="AT9" s="1" t="s">
        <v>518</v>
      </c>
      <c r="BA9" s="19">
        <v>5.0000000000000001E-4</v>
      </c>
      <c r="BB9">
        <f t="shared" si="3"/>
        <v>99.859415649150463</v>
      </c>
      <c r="BC9" s="5">
        <f>BA7</f>
        <v>-2.9999999999999997E-4</v>
      </c>
      <c r="BD9" s="1" t="s">
        <v>518</v>
      </c>
      <c r="BK9" s="19">
        <v>1.6000000000000001E-3</v>
      </c>
      <c r="BL9">
        <f t="shared" si="4"/>
        <v>103.13328107797827</v>
      </c>
      <c r="BM9" s="5">
        <f>BK15</f>
        <v>-4.8599999999999997E-2</v>
      </c>
      <c r="BN9" s="1" t="s">
        <v>518</v>
      </c>
      <c r="BU9" s="19">
        <v>5.0000000000000001E-4</v>
      </c>
      <c r="BV9">
        <f t="shared" si="5"/>
        <v>99.97575922413823</v>
      </c>
      <c r="BW9" s="5">
        <f>BU15</f>
        <v>-2.5000000000000001E-2</v>
      </c>
      <c r="BX9" s="1" t="s">
        <v>518</v>
      </c>
      <c r="CE9" s="19">
        <v>1.6000000000000001E-3</v>
      </c>
      <c r="CF9">
        <f t="shared" si="6"/>
        <v>101.93681537090301</v>
      </c>
      <c r="CG9" s="5">
        <f>CE15</f>
        <v>-4.8599999999999997E-2</v>
      </c>
    </row>
    <row r="10" spans="2:85" x14ac:dyDescent="0.2">
      <c r="B10" s="1" t="s">
        <v>1448</v>
      </c>
      <c r="I10" s="19">
        <v>-6.6E-3</v>
      </c>
      <c r="J10">
        <f t="shared" si="7"/>
        <v>99.665089441343937</v>
      </c>
      <c r="K10" s="5">
        <f t="shared" si="0"/>
        <v>-3.3E-3</v>
      </c>
      <c r="M10" s="1" t="s">
        <v>521</v>
      </c>
      <c r="T10" s="19">
        <v>1.6000000000000001E-3</v>
      </c>
      <c r="U10">
        <f t="shared" si="8"/>
        <v>103.04256541590519</v>
      </c>
      <c r="V10" s="5">
        <f>T12</f>
        <v>-8.8000000000000005E-3</v>
      </c>
      <c r="X10" s="1" t="s">
        <v>2117</v>
      </c>
      <c r="AF10" s="19">
        <v>-7.6E-3</v>
      </c>
      <c r="AG10">
        <f t="shared" si="1"/>
        <v>99.345221225791974</v>
      </c>
      <c r="AH10" s="5"/>
      <c r="AJ10" s="1" t="s">
        <v>517</v>
      </c>
      <c r="AQ10" s="19">
        <v>-1.1599999999999999E-2</v>
      </c>
      <c r="AR10">
        <f t="shared" si="2"/>
        <v>101.22330510936058</v>
      </c>
      <c r="AS10" s="5"/>
      <c r="AT10" s="1" t="s">
        <v>2116</v>
      </c>
      <c r="BA10" s="19">
        <v>-7.3000000000000001E-3</v>
      </c>
      <c r="BB10">
        <f t="shared" si="3"/>
        <v>99.130441914911671</v>
      </c>
      <c r="BC10" s="5">
        <f>BA13</f>
        <v>-1.5299999999999999E-2</v>
      </c>
      <c r="BD10" s="1" t="s">
        <v>517</v>
      </c>
      <c r="BK10" s="19">
        <v>-1.1599999999999999E-2</v>
      </c>
      <c r="BL10">
        <f t="shared" si="4"/>
        <v>101.93693501747371</v>
      </c>
      <c r="BM10" s="5"/>
      <c r="BN10" s="1" t="s">
        <v>2116</v>
      </c>
      <c r="BU10" s="19">
        <v>-1.01E-2</v>
      </c>
      <c r="BV10">
        <f t="shared" si="5"/>
        <v>98.966004055974437</v>
      </c>
      <c r="BW10" s="5"/>
      <c r="BX10" s="1" t="s">
        <v>517</v>
      </c>
      <c r="CE10" s="19">
        <v>-1.1599999999999999E-2</v>
      </c>
      <c r="CF10">
        <f t="shared" si="6"/>
        <v>100.75434831260053</v>
      </c>
      <c r="CG10" s="5"/>
    </row>
    <row r="11" spans="2:85" x14ac:dyDescent="0.2">
      <c r="B11" s="1" t="s">
        <v>1449</v>
      </c>
      <c r="I11" s="19">
        <v>-3.3E-3</v>
      </c>
      <c r="J11">
        <f t="shared" si="7"/>
        <v>99.336194646187508</v>
      </c>
      <c r="K11" s="5">
        <f>I16</f>
        <v>-4.8800000000000003E-2</v>
      </c>
      <c r="M11" s="1" t="s">
        <v>520</v>
      </c>
      <c r="T11" s="19">
        <v>-1.1599999999999999E-2</v>
      </c>
      <c r="U11">
        <f t="shared" si="8"/>
        <v>101.84727165708068</v>
      </c>
      <c r="V11" s="5">
        <f>T14</f>
        <v>-1.5599999999999999E-2</v>
      </c>
      <c r="X11" s="1" t="s">
        <v>2118</v>
      </c>
      <c r="AF11" s="19">
        <v>2.8999999999999998E-3</v>
      </c>
      <c r="AG11">
        <f t="shared" si="1"/>
        <v>99.633322367346764</v>
      </c>
      <c r="AH11" s="5"/>
      <c r="AJ11" s="1" t="s">
        <v>516</v>
      </c>
      <c r="AQ11" s="19">
        <v>0</v>
      </c>
      <c r="AR11">
        <f t="shared" si="2"/>
        <v>101.22330510936058</v>
      </c>
      <c r="AS11" s="5"/>
      <c r="AT11" s="1" t="s">
        <v>2117</v>
      </c>
      <c r="BA11" s="19">
        <v>2.8999999999999998E-3</v>
      </c>
      <c r="BB11">
        <f t="shared" si="3"/>
        <v>99.417920196464905</v>
      </c>
      <c r="BD11" s="1" t="s">
        <v>516</v>
      </c>
      <c r="BK11" s="19">
        <v>0</v>
      </c>
      <c r="BL11">
        <f t="shared" si="4"/>
        <v>101.93693501747371</v>
      </c>
      <c r="BM11" s="5"/>
      <c r="BN11" s="1" t="s">
        <v>2117</v>
      </c>
      <c r="BU11" s="19">
        <v>2.8999999999999998E-3</v>
      </c>
      <c r="BV11">
        <f t="shared" si="5"/>
        <v>99.253005467736756</v>
      </c>
      <c r="BW11" s="5"/>
      <c r="BX11" s="1" t="s">
        <v>516</v>
      </c>
      <c r="CE11" s="19">
        <v>0</v>
      </c>
      <c r="CF11">
        <f t="shared" si="6"/>
        <v>100.75434831260053</v>
      </c>
      <c r="CG11" s="5"/>
    </row>
    <row r="12" spans="2:85" x14ac:dyDescent="0.2">
      <c r="B12" s="1" t="s">
        <v>1450</v>
      </c>
      <c r="I12" s="19">
        <v>1.4E-3</v>
      </c>
      <c r="J12">
        <f t="shared" si="7"/>
        <v>99.47526531869218</v>
      </c>
      <c r="M12" s="1" t="s">
        <v>621</v>
      </c>
      <c r="T12" s="19">
        <v>-8.8000000000000005E-3</v>
      </c>
      <c r="U12">
        <f t="shared" si="8"/>
        <v>100.95101566649836</v>
      </c>
      <c r="V12" s="5">
        <f>T16</f>
        <v>-4.8800000000000003E-2</v>
      </c>
      <c r="X12" s="1" t="s">
        <v>515</v>
      </c>
      <c r="AF12" s="19">
        <v>-8.0000000000000004E-4</v>
      </c>
      <c r="AG12">
        <f t="shared" si="1"/>
        <v>99.553615709452885</v>
      </c>
      <c r="AJ12" s="1" t="s">
        <v>2151</v>
      </c>
      <c r="AQ12" s="19">
        <v>-1.4E-3</v>
      </c>
      <c r="AR12">
        <f t="shared" si="2"/>
        <v>101.08159248220748</v>
      </c>
      <c r="AT12" s="1" t="s">
        <v>2118</v>
      </c>
      <c r="BA12" s="19">
        <v>8.9999999999999998E-4</v>
      </c>
      <c r="BB12">
        <f t="shared" si="3"/>
        <v>99.507396324641718</v>
      </c>
      <c r="BD12" s="1" t="s">
        <v>2151</v>
      </c>
      <c r="BK12" s="19">
        <v>-1.4E-3</v>
      </c>
      <c r="BL12">
        <f t="shared" si="4"/>
        <v>101.79422330844926</v>
      </c>
      <c r="BN12" s="1" t="s">
        <v>2118</v>
      </c>
      <c r="BU12" s="19">
        <v>1.4E-3</v>
      </c>
      <c r="BV12">
        <f t="shared" si="5"/>
        <v>99.39195967539159</v>
      </c>
      <c r="BX12" s="1" t="s">
        <v>2151</v>
      </c>
      <c r="CE12" s="19">
        <v>-1.4E-3</v>
      </c>
      <c r="CF12">
        <f t="shared" si="6"/>
        <v>100.61329222496289</v>
      </c>
    </row>
    <row r="13" spans="2:85" x14ac:dyDescent="0.2">
      <c r="B13" s="1" t="s">
        <v>1451</v>
      </c>
      <c r="I13" s="19">
        <v>-1.4E-3</v>
      </c>
      <c r="J13">
        <f t="shared" si="7"/>
        <v>99.335999947246009</v>
      </c>
      <c r="M13" s="1" t="s">
        <v>622</v>
      </c>
      <c r="T13" s="19">
        <v>-1.4E-3</v>
      </c>
      <c r="U13">
        <f t="shared" si="8"/>
        <v>100.80968424456528</v>
      </c>
      <c r="AF13" s="19">
        <v>2E-3</v>
      </c>
      <c r="AG13">
        <f t="shared" si="1"/>
        <v>99.752722940871791</v>
      </c>
      <c r="AJ13" s="1" t="s">
        <v>2515</v>
      </c>
      <c r="AQ13" s="19">
        <v>-9.4000000000000004E-3</v>
      </c>
      <c r="AR13">
        <f t="shared" si="2"/>
        <v>100.13142551287474</v>
      </c>
      <c r="AT13" s="1" t="s">
        <v>515</v>
      </c>
      <c r="BA13" s="19">
        <v>-1.5299999999999999E-2</v>
      </c>
      <c r="BB13">
        <f t="shared" si="3"/>
        <v>97.984933160874704</v>
      </c>
      <c r="BD13" s="1" t="s">
        <v>2515</v>
      </c>
      <c r="BK13" s="19">
        <v>-9.4000000000000004E-3</v>
      </c>
      <c r="BL13">
        <f t="shared" si="4"/>
        <v>100.83735760934984</v>
      </c>
      <c r="BN13" s="1" t="s">
        <v>515</v>
      </c>
      <c r="BU13" s="19">
        <v>-7.1000000000000004E-3</v>
      </c>
      <c r="BV13">
        <f t="shared" si="5"/>
        <v>98.686276761696305</v>
      </c>
      <c r="BX13" s="1" t="s">
        <v>2515</v>
      </c>
      <c r="CE13" s="19">
        <v>-9.4000000000000004E-3</v>
      </c>
      <c r="CF13">
        <f t="shared" si="6"/>
        <v>99.66752727804824</v>
      </c>
    </row>
    <row r="14" spans="2:85" x14ac:dyDescent="0.2">
      <c r="B14" s="1" t="s">
        <v>1452</v>
      </c>
      <c r="I14" s="19">
        <v>-2.5000000000000001E-3</v>
      </c>
      <c r="J14">
        <f t="shared" si="7"/>
        <v>99.087659947377901</v>
      </c>
      <c r="T14" s="19">
        <v>-1.5599999999999999E-2</v>
      </c>
      <c r="U14">
        <f t="shared" si="8"/>
        <v>99.237053170350066</v>
      </c>
      <c r="X14" s="1" t="s">
        <v>524</v>
      </c>
      <c r="AF14" s="19">
        <v>1.15E-2</v>
      </c>
      <c r="AG14">
        <f t="shared" si="1"/>
        <v>100.89987925469183</v>
      </c>
      <c r="AH14" s="5"/>
      <c r="AQ14" s="19">
        <v>8.5000000000000006E-3</v>
      </c>
      <c r="AR14">
        <f t="shared" si="2"/>
        <v>100.98254262973417</v>
      </c>
      <c r="AS14" s="5"/>
      <c r="BA14" s="19">
        <v>7.3000000000000001E-3</v>
      </c>
      <c r="BB14">
        <f t="shared" si="3"/>
        <v>98.700223172949094</v>
      </c>
      <c r="BC14" s="5"/>
      <c r="BK14" s="19">
        <v>8.5000000000000006E-3</v>
      </c>
      <c r="BL14">
        <f t="shared" si="4"/>
        <v>101.6944751490293</v>
      </c>
      <c r="BM14" s="5"/>
      <c r="BU14" s="19">
        <v>1.4500000000000001E-2</v>
      </c>
      <c r="BV14">
        <f t="shared" si="5"/>
        <v>100.1172277747409</v>
      </c>
      <c r="BW14" s="5"/>
      <c r="CE14" s="19">
        <v>8.5000000000000006E-3</v>
      </c>
      <c r="CF14">
        <f t="shared" si="6"/>
        <v>100.51470125991165</v>
      </c>
      <c r="CG14" s="5"/>
    </row>
    <row r="15" spans="2:85" x14ac:dyDescent="0.2">
      <c r="B15" s="1" t="s">
        <v>1453</v>
      </c>
      <c r="I15" s="19">
        <v>1.5100000000000001E-2</v>
      </c>
      <c r="J15">
        <f t="shared" si="7"/>
        <v>100.58388361258329</v>
      </c>
      <c r="M15" s="2" t="s">
        <v>623</v>
      </c>
      <c r="T15" s="19">
        <v>-6.7000000000000002E-3</v>
      </c>
      <c r="U15">
        <f t="shared" si="8"/>
        <v>98.572164914108711</v>
      </c>
      <c r="V15" s="5"/>
      <c r="X15" s="1" t="s">
        <v>630</v>
      </c>
      <c r="AF15" s="19">
        <v>-3.3700000000000001E-2</v>
      </c>
      <c r="AG15">
        <f t="shared" si="1"/>
        <v>97.499553323808712</v>
      </c>
      <c r="AJ15" s="2" t="s">
        <v>2516</v>
      </c>
      <c r="AQ15" s="19">
        <v>-4.8599999999999997E-2</v>
      </c>
      <c r="AR15">
        <f t="shared" si="2"/>
        <v>96.07479105792909</v>
      </c>
      <c r="AT15" s="2" t="s">
        <v>2671</v>
      </c>
      <c r="BA15" s="19">
        <v>-3.5400000000000001E-2</v>
      </c>
      <c r="BB15">
        <f t="shared" si="3"/>
        <v>95.206235272626699</v>
      </c>
      <c r="BD15" s="2" t="s">
        <v>2671</v>
      </c>
      <c r="BK15" s="19">
        <v>-4.8599999999999997E-2</v>
      </c>
      <c r="BL15">
        <f t="shared" si="4"/>
        <v>96.75212365678648</v>
      </c>
      <c r="BN15" s="2" t="s">
        <v>2898</v>
      </c>
      <c r="BU15" s="19">
        <v>-2.5000000000000001E-2</v>
      </c>
      <c r="BV15">
        <f t="shared" si="5"/>
        <v>97.614297080372367</v>
      </c>
      <c r="BX15" s="2" t="s">
        <v>2898</v>
      </c>
      <c r="CE15" s="19">
        <v>-4.8599999999999997E-2</v>
      </c>
      <c r="CF15">
        <f t="shared" si="6"/>
        <v>95.62968677867994</v>
      </c>
    </row>
    <row r="16" spans="2:85" x14ac:dyDescent="0.2">
      <c r="B16" s="1" t="s">
        <v>1454</v>
      </c>
      <c r="I16" s="19">
        <v>-4.8800000000000003E-2</v>
      </c>
      <c r="J16">
        <f t="shared" si="7"/>
        <v>95.675390092289234</v>
      </c>
      <c r="M16" s="1" t="s">
        <v>524</v>
      </c>
      <c r="T16" s="19">
        <v>-4.8800000000000003E-2</v>
      </c>
      <c r="U16">
        <f t="shared" si="8"/>
        <v>93.761843266300204</v>
      </c>
      <c r="X16" s="1" t="s">
        <v>530</v>
      </c>
      <c r="AE16" s="6" t="s">
        <v>173</v>
      </c>
      <c r="AF16" s="5">
        <f>AG15/100 - 1</f>
        <v>-2.5004466761912925E-2</v>
      </c>
      <c r="AJ16" s="1" t="s">
        <v>524</v>
      </c>
      <c r="AP16" s="6" t="s">
        <v>173</v>
      </c>
      <c r="AQ16" s="5">
        <f>AR15/100 - 1</f>
        <v>-3.9252089420709124E-2</v>
      </c>
      <c r="AT16" s="1" t="s">
        <v>524</v>
      </c>
      <c r="AZ16" s="6" t="s">
        <v>173</v>
      </c>
      <c r="BA16" s="5">
        <f>BB15/100 - 1</f>
        <v>-4.7937647273732953E-2</v>
      </c>
      <c r="BD16" s="1" t="s">
        <v>524</v>
      </c>
      <c r="BJ16" s="6" t="s">
        <v>173</v>
      </c>
      <c r="BK16" s="5">
        <f>BL15/100 - 1</f>
        <v>-3.2478763432135183E-2</v>
      </c>
      <c r="BN16" s="1" t="s">
        <v>524</v>
      </c>
      <c r="BT16" s="6" t="s">
        <v>173</v>
      </c>
      <c r="BU16" s="5">
        <f>BV15/100 - 1</f>
        <v>-2.3857029196276303E-2</v>
      </c>
      <c r="BX16" s="1" t="s">
        <v>524</v>
      </c>
      <c r="CD16" s="6" t="s">
        <v>173</v>
      </c>
      <c r="CE16" s="5">
        <f>CF15/100 - 1</f>
        <v>-4.3703132213200657E-2</v>
      </c>
    </row>
    <row r="17" spans="2:83" x14ac:dyDescent="0.2">
      <c r="B17" s="1" t="s">
        <v>1455</v>
      </c>
      <c r="H17" s="6" t="s">
        <v>173</v>
      </c>
      <c r="I17" s="5">
        <f>(J16/J4 - 1)</f>
        <v>-4.3246099077107636E-2</v>
      </c>
      <c r="M17" s="1" t="s">
        <v>624</v>
      </c>
      <c r="S17" s="6" t="s">
        <v>173</v>
      </c>
      <c r="T17" s="5">
        <f>U16/100 - 1</f>
        <v>-6.2381567336997956E-2</v>
      </c>
      <c r="X17" s="1" t="s">
        <v>2119</v>
      </c>
      <c r="AE17" s="6" t="s">
        <v>472</v>
      </c>
      <c r="AF17" s="5">
        <f>_xlfn.STDEV.S(AF4:AF15)*12^0.5</f>
        <v>6.3973261459911376E-2</v>
      </c>
      <c r="AJ17" s="1" t="s">
        <v>624</v>
      </c>
      <c r="AP17" s="6" t="s">
        <v>472</v>
      </c>
      <c r="AQ17" s="5">
        <f>_xlfn.STDEV.S(AQ4:AQ15)*12^0.5</f>
        <v>7.1721481503737125E-2</v>
      </c>
      <c r="AT17" s="1" t="s">
        <v>630</v>
      </c>
      <c r="AZ17" s="6" t="s">
        <v>472</v>
      </c>
      <c r="BA17" s="5">
        <f>_xlfn.STDEV.S(BA4:BA15)*12^0.5</f>
        <v>6.4458379806451291E-2</v>
      </c>
      <c r="BD17" s="1" t="s">
        <v>624</v>
      </c>
      <c r="BJ17" s="6" t="s">
        <v>472</v>
      </c>
      <c r="BK17" s="5">
        <f>_xlfn.STDEV.S(BK4:BK15)*12^0.5</f>
        <v>7.1640694377630723E-2</v>
      </c>
      <c r="BN17" s="1" t="s">
        <v>630</v>
      </c>
      <c r="BT17" s="6" t="s">
        <v>472</v>
      </c>
      <c r="BU17" s="5">
        <f>_xlfn.STDEV.S(BU4:BU15)*12^0.5</f>
        <v>5.9232385183659912E-2</v>
      </c>
      <c r="BX17" s="1" t="s">
        <v>624</v>
      </c>
      <c r="CD17" s="6" t="s">
        <v>472</v>
      </c>
      <c r="CE17" s="5">
        <f>_xlfn.STDEV.S(CE4:CE15)*12^0.5</f>
        <v>7.2145282716071027E-2</v>
      </c>
    </row>
    <row r="18" spans="2:83" x14ac:dyDescent="0.2">
      <c r="B18" s="1" t="s">
        <v>1456</v>
      </c>
      <c r="H18" s="6" t="s">
        <v>472</v>
      </c>
      <c r="I18" s="5">
        <f>_xlfn.STDEV.S(I5:I16)*12^0.5</f>
        <v>7.2247623427411714E-2</v>
      </c>
      <c r="M18" s="1" t="s">
        <v>625</v>
      </c>
      <c r="S18" s="6" t="s">
        <v>472</v>
      </c>
      <c r="T18" s="5">
        <f>_xlfn.STDEV.S(T5:T16)*12^0.5</f>
        <v>7.8774730604542098E-2</v>
      </c>
      <c r="X18" s="1" t="s">
        <v>529</v>
      </c>
      <c r="AE18" s="18" t="s">
        <v>171</v>
      </c>
      <c r="AF18" s="7">
        <f>(AF16-J1)/AF17</f>
        <v>-0.8598040104048984</v>
      </c>
      <c r="AJ18" s="1" t="s">
        <v>625</v>
      </c>
      <c r="AP18" s="18" t="s">
        <v>171</v>
      </c>
      <c r="AQ18" s="7">
        <f>(AQ16-J1)/AQ17</f>
        <v>-0.96556970057988367</v>
      </c>
      <c r="AT18" s="1" t="s">
        <v>530</v>
      </c>
      <c r="AZ18" s="18" t="s">
        <v>171</v>
      </c>
      <c r="BA18" s="7">
        <f>(BA16-J1)/BA17</f>
        <v>-1.2091158280390504</v>
      </c>
      <c r="BD18" s="1" t="s">
        <v>625</v>
      </c>
      <c r="BJ18" s="18" t="s">
        <v>171</v>
      </c>
      <c r="BK18" s="7">
        <f>(BK16-J1)/BK17</f>
        <v>-0.87211275623319073</v>
      </c>
      <c r="BN18" s="1" t="s">
        <v>530</v>
      </c>
      <c r="BT18" s="18" t="s">
        <v>171</v>
      </c>
      <c r="BU18" s="7">
        <f>(BU16-J1)/BU17</f>
        <v>-0.90924971245516417</v>
      </c>
      <c r="BX18" s="1" t="s">
        <v>625</v>
      </c>
      <c r="CD18" s="18" t="s">
        <v>171</v>
      </c>
      <c r="CE18" s="7">
        <f>(CE16-J1)/CE17</f>
        <v>-1.0215932274222359</v>
      </c>
    </row>
    <row r="19" spans="2:83" x14ac:dyDescent="0.2">
      <c r="B19" s="1" t="s">
        <v>1457</v>
      </c>
      <c r="H19" s="18" t="s">
        <v>171</v>
      </c>
      <c r="I19" s="7">
        <f>(I17-J1)/I18</f>
        <v>-1.0138201867733283</v>
      </c>
      <c r="M19" s="1" t="s">
        <v>626</v>
      </c>
      <c r="S19" s="18" t="s">
        <v>171</v>
      </c>
      <c r="T19" s="7">
        <f>(T17-J1)/T18</f>
        <v>-1.172730984010135</v>
      </c>
      <c r="X19" s="1" t="s">
        <v>528</v>
      </c>
      <c r="AE19" s="6" t="s">
        <v>474</v>
      </c>
      <c r="AF19" s="5">
        <f>_xlfn.STDEV.S(AH4:AH11)*12^0.5</f>
        <v>4.867463405101264E-2</v>
      </c>
      <c r="AJ19" s="1" t="s">
        <v>626</v>
      </c>
      <c r="AP19" s="6" t="s">
        <v>474</v>
      </c>
      <c r="AQ19" s="5">
        <f>_xlfn.STDEV.S(AS5:AS9)*12^0.5</f>
        <v>6.4717354704901212E-2</v>
      </c>
      <c r="AT19" s="1" t="s">
        <v>2119</v>
      </c>
      <c r="AZ19" s="6" t="s">
        <v>474</v>
      </c>
      <c r="BA19" s="5">
        <f>_xlfn.STDEV.S(BC5:BC10)*12^0.5</f>
        <v>5.684607286347932E-2</v>
      </c>
      <c r="BD19" s="1" t="s">
        <v>626</v>
      </c>
      <c r="BJ19" s="6" t="s">
        <v>474</v>
      </c>
      <c r="BK19" s="5">
        <f>_xlfn.STDEV.S(BM4:BM9)*12^0.5</f>
        <v>6.2738473044855025E-2</v>
      </c>
      <c r="BN19" s="1" t="s">
        <v>2119</v>
      </c>
      <c r="BT19" s="6" t="s">
        <v>474</v>
      </c>
      <c r="BU19" s="5">
        <f>_xlfn.STDEV.S(BW4:BW9)*12^0.5</f>
        <v>5.2816133898648809E-2</v>
      </c>
      <c r="BX19" s="1" t="s">
        <v>626</v>
      </c>
      <c r="CD19" s="6" t="s">
        <v>474</v>
      </c>
      <c r="CE19" s="5">
        <f>_xlfn.STDEV.S(CG4:CG9)*12^0.5</f>
        <v>5.7771584710824754E-2</v>
      </c>
    </row>
    <row r="20" spans="2:83" x14ac:dyDescent="0.2">
      <c r="B20" s="1" t="s">
        <v>1458</v>
      </c>
      <c r="H20" s="6" t="s">
        <v>474</v>
      </c>
      <c r="I20" s="5">
        <f>_xlfn.STDEV.S(K5:K11)</f>
        <v>2.1984139304334408E-2</v>
      </c>
      <c r="M20" s="1" t="s">
        <v>627</v>
      </c>
      <c r="S20" s="6" t="s">
        <v>474</v>
      </c>
      <c r="T20" s="5">
        <f>_xlfn.STDEV.S(V5:V12)</f>
        <v>1.8216711323083855E-2</v>
      </c>
      <c r="X20" s="1" t="s">
        <v>527</v>
      </c>
      <c r="AE20" s="6" t="s">
        <v>177</v>
      </c>
      <c r="AF20" s="7">
        <f>(AF16-J1)/AF19</f>
        <v>-1.1300437657993774</v>
      </c>
      <c r="AJ20" s="1" t="s">
        <v>627</v>
      </c>
      <c r="AP20" s="6" t="s">
        <v>177</v>
      </c>
      <c r="AQ20" s="7">
        <f>(AQ16-J1)/AQ19</f>
        <v>-1.0700698404081168</v>
      </c>
      <c r="AT20" s="1" t="s">
        <v>529</v>
      </c>
      <c r="AZ20" s="6" t="s">
        <v>177</v>
      </c>
      <c r="BA20" s="7">
        <f>(BA16-J1)/BA19</f>
        <v>-1.3710295777319015</v>
      </c>
      <c r="BD20" s="1" t="s">
        <v>627</v>
      </c>
      <c r="BJ20" s="6" t="s">
        <v>177</v>
      </c>
      <c r="BK20" s="7">
        <f>(BK16-J1)/BK19</f>
        <v>-0.99586044096842841</v>
      </c>
      <c r="BN20" s="1" t="s">
        <v>529</v>
      </c>
      <c r="BT20" s="6" t="s">
        <v>177</v>
      </c>
      <c r="BU20" s="7">
        <f>(BU16-J1)/BU19</f>
        <v>-1.0197079040208605</v>
      </c>
      <c r="BX20" s="1" t="s">
        <v>627</v>
      </c>
      <c r="CD20" s="6" t="s">
        <v>177</v>
      </c>
      <c r="CE20" s="7">
        <f>(CE16-J1)/CE19</f>
        <v>-1.2757678810806583</v>
      </c>
    </row>
    <row r="21" spans="2:83" x14ac:dyDescent="0.2">
      <c r="B21" s="1" t="s">
        <v>1459</v>
      </c>
      <c r="H21" s="6" t="s">
        <v>177</v>
      </c>
      <c r="I21" s="7">
        <f>(I17-J1)/I20</f>
        <v>-3.3317701486119304</v>
      </c>
      <c r="M21" s="1" t="s">
        <v>628</v>
      </c>
      <c r="S21" s="6" t="s">
        <v>177</v>
      </c>
      <c r="T21" s="7">
        <f>(T17-J1)/T20</f>
        <v>-5.0712538448108289</v>
      </c>
      <c r="X21" s="1" t="s">
        <v>526</v>
      </c>
      <c r="AE21" s="6" t="s">
        <v>179</v>
      </c>
      <c r="AF21" s="5">
        <f>SUM(AF5:AF7)</f>
        <v>-4.1500000000000002E-2</v>
      </c>
      <c r="AJ21" s="1" t="s">
        <v>628</v>
      </c>
      <c r="AP21" s="6" t="s">
        <v>179</v>
      </c>
      <c r="AQ21" s="5">
        <f>SUM(AQ15)</f>
        <v>-4.8599999999999997E-2</v>
      </c>
      <c r="AT21" s="1" t="s">
        <v>528</v>
      </c>
      <c r="AZ21" s="6" t="s">
        <v>179</v>
      </c>
      <c r="BA21" s="5">
        <f>SUM(BA15)</f>
        <v>-3.5400000000000001E-2</v>
      </c>
      <c r="BD21" s="1" t="s">
        <v>628</v>
      </c>
      <c r="BJ21" s="6" t="s">
        <v>179</v>
      </c>
      <c r="BK21" s="5">
        <f>SUM(BK15)</f>
        <v>-4.8599999999999997E-2</v>
      </c>
      <c r="BN21" s="1" t="s">
        <v>528</v>
      </c>
      <c r="BT21" s="6" t="s">
        <v>179</v>
      </c>
      <c r="BU21" s="5">
        <f>SUM(BU15)</f>
        <v>-2.5000000000000001E-2</v>
      </c>
      <c r="BX21" s="1" t="s">
        <v>628</v>
      </c>
      <c r="CD21" s="6" t="s">
        <v>179</v>
      </c>
      <c r="CE21" s="5">
        <f>SUM(CE15)</f>
        <v>-4.8599999999999997E-2</v>
      </c>
    </row>
    <row r="22" spans="2:83" x14ac:dyDescent="0.2">
      <c r="B22" s="1" t="s">
        <v>1460</v>
      </c>
      <c r="H22" s="6" t="s">
        <v>179</v>
      </c>
      <c r="I22" s="5">
        <f>SUM(I6:I11)</f>
        <v>-3.3999999999999996E-2</v>
      </c>
      <c r="M22" s="1" t="s">
        <v>525</v>
      </c>
      <c r="S22" s="6" t="s">
        <v>179</v>
      </c>
      <c r="T22" s="5">
        <f>SUM(V6:V11)</f>
        <v>-3.1799999999999995E-2</v>
      </c>
      <c r="X22" s="1" t="s">
        <v>629</v>
      </c>
      <c r="AJ22" s="1" t="s">
        <v>525</v>
      </c>
      <c r="AT22" s="1" t="s">
        <v>527</v>
      </c>
      <c r="BD22" s="1" t="s">
        <v>525</v>
      </c>
      <c r="BN22" s="1" t="s">
        <v>527</v>
      </c>
      <c r="BX22" s="1" t="s">
        <v>525</v>
      </c>
    </row>
    <row r="23" spans="2:83" x14ac:dyDescent="0.2">
      <c r="B23" s="1" t="s">
        <v>1461</v>
      </c>
      <c r="H23" s="6"/>
      <c r="M23" s="1" t="s">
        <v>629</v>
      </c>
      <c r="S23" s="6"/>
      <c r="X23" s="1" t="s">
        <v>2505</v>
      </c>
      <c r="AJ23" s="1" t="s">
        <v>629</v>
      </c>
      <c r="AT23" s="1" t="s">
        <v>526</v>
      </c>
      <c r="BD23" s="1" t="s">
        <v>629</v>
      </c>
      <c r="BN23" s="1" t="s">
        <v>526</v>
      </c>
      <c r="BX23" s="1" t="s">
        <v>629</v>
      </c>
    </row>
    <row r="24" spans="2:83" x14ac:dyDescent="0.2">
      <c r="B24" s="1" t="s">
        <v>1462</v>
      </c>
      <c r="M24" s="1" t="s">
        <v>630</v>
      </c>
      <c r="AJ24" s="1" t="s">
        <v>630</v>
      </c>
      <c r="AT24" s="1" t="s">
        <v>629</v>
      </c>
      <c r="BD24" s="1" t="s">
        <v>630</v>
      </c>
      <c r="BN24" s="1" t="s">
        <v>629</v>
      </c>
      <c r="BX24" s="1" t="s">
        <v>630</v>
      </c>
    </row>
    <row r="25" spans="2:83" x14ac:dyDescent="0.2">
      <c r="B25" s="1" t="s">
        <v>1463</v>
      </c>
      <c r="M25" s="1" t="s">
        <v>526</v>
      </c>
      <c r="X25" s="1" t="s">
        <v>534</v>
      </c>
      <c r="AJ25" s="1" t="s">
        <v>526</v>
      </c>
      <c r="AT25" s="1" t="s">
        <v>2505</v>
      </c>
      <c r="BD25" s="1" t="s">
        <v>526</v>
      </c>
      <c r="BN25" s="1" t="s">
        <v>2505</v>
      </c>
      <c r="BX25" s="1" t="s">
        <v>526</v>
      </c>
    </row>
    <row r="26" spans="2:83" x14ac:dyDescent="0.2">
      <c r="B26" s="1" t="s">
        <v>1464</v>
      </c>
      <c r="X26" s="1" t="s">
        <v>533</v>
      </c>
    </row>
    <row r="27" spans="2:83" x14ac:dyDescent="0.2">
      <c r="B27" s="1" t="s">
        <v>1465</v>
      </c>
      <c r="M27" s="2" t="s">
        <v>631</v>
      </c>
      <c r="X27" s="1" t="s">
        <v>531</v>
      </c>
      <c r="AJ27" s="2" t="s">
        <v>2517</v>
      </c>
      <c r="AT27" s="2" t="s">
        <v>2672</v>
      </c>
      <c r="BD27" s="2" t="s">
        <v>2672</v>
      </c>
      <c r="BN27" s="2" t="s">
        <v>2899</v>
      </c>
      <c r="BX27" s="2" t="s">
        <v>2899</v>
      </c>
    </row>
    <row r="28" spans="2:83" x14ac:dyDescent="0.2">
      <c r="B28" s="1" t="s">
        <v>1466</v>
      </c>
      <c r="M28" s="1" t="s">
        <v>531</v>
      </c>
      <c r="X28" s="1" t="s">
        <v>2120</v>
      </c>
      <c r="AJ28" s="1" t="s">
        <v>531</v>
      </c>
      <c r="AT28" s="1" t="s">
        <v>534</v>
      </c>
      <c r="BD28" s="1" t="s">
        <v>531</v>
      </c>
      <c r="BN28" s="1" t="s">
        <v>531</v>
      </c>
      <c r="BX28" s="1" t="s">
        <v>531</v>
      </c>
    </row>
    <row r="29" spans="2:83" x14ac:dyDescent="0.2">
      <c r="B29" s="1" t="s">
        <v>1467</v>
      </c>
      <c r="M29" s="1" t="s">
        <v>533</v>
      </c>
      <c r="X29" s="1" t="s">
        <v>2121</v>
      </c>
      <c r="AJ29" s="1" t="s">
        <v>533</v>
      </c>
      <c r="AT29" s="1" t="s">
        <v>531</v>
      </c>
      <c r="BD29" s="1" t="s">
        <v>533</v>
      </c>
      <c r="BN29" s="1" t="s">
        <v>534</v>
      </c>
      <c r="BX29" s="1" t="s">
        <v>533</v>
      </c>
    </row>
    <row r="30" spans="2:83" x14ac:dyDescent="0.2">
      <c r="B30" s="1" t="s">
        <v>1468</v>
      </c>
      <c r="M30" s="1" t="s">
        <v>532</v>
      </c>
      <c r="X30" s="1" t="s">
        <v>2122</v>
      </c>
      <c r="AJ30" s="1" t="s">
        <v>532</v>
      </c>
      <c r="AT30" s="1" t="s">
        <v>533</v>
      </c>
      <c r="BD30" s="1" t="s">
        <v>532</v>
      </c>
      <c r="BN30" s="1" t="s">
        <v>533</v>
      </c>
      <c r="BX30" s="1" t="s">
        <v>532</v>
      </c>
    </row>
    <row r="31" spans="2:83" x14ac:dyDescent="0.2">
      <c r="B31" s="1" t="s">
        <v>1469</v>
      </c>
      <c r="M31" s="1" t="s">
        <v>534</v>
      </c>
      <c r="X31" s="1" t="s">
        <v>2125</v>
      </c>
      <c r="AJ31" s="1" t="s">
        <v>534</v>
      </c>
      <c r="AT31" s="1" t="s">
        <v>2121</v>
      </c>
      <c r="BD31" s="1" t="s">
        <v>534</v>
      </c>
      <c r="BN31" s="1" t="s">
        <v>2120</v>
      </c>
      <c r="BX31" s="1" t="s">
        <v>534</v>
      </c>
    </row>
    <row r="32" spans="2:83" x14ac:dyDescent="0.2">
      <c r="B32" s="1" t="s">
        <v>1470</v>
      </c>
      <c r="M32" s="1" t="s">
        <v>632</v>
      </c>
      <c r="X32" s="1" t="s">
        <v>2124</v>
      </c>
      <c r="AJ32" s="1" t="s">
        <v>632</v>
      </c>
      <c r="AT32" s="1" t="s">
        <v>2120</v>
      </c>
      <c r="BD32" s="1" t="s">
        <v>632</v>
      </c>
      <c r="BN32" s="1" t="s">
        <v>2900</v>
      </c>
      <c r="BX32" s="1" t="s">
        <v>632</v>
      </c>
    </row>
    <row r="33" spans="2:76" x14ac:dyDescent="0.2">
      <c r="B33" s="1" t="s">
        <v>1471</v>
      </c>
      <c r="M33" s="1" t="s">
        <v>633</v>
      </c>
      <c r="X33" s="1" t="s">
        <v>2123</v>
      </c>
      <c r="AJ33" s="1" t="s">
        <v>633</v>
      </c>
      <c r="AT33" s="1" t="s">
        <v>536</v>
      </c>
      <c r="BD33" s="1" t="s">
        <v>633</v>
      </c>
      <c r="BN33" s="1" t="s">
        <v>2901</v>
      </c>
      <c r="BX33" s="1" t="s">
        <v>633</v>
      </c>
    </row>
    <row r="34" spans="2:76" x14ac:dyDescent="0.2">
      <c r="B34" s="1" t="s">
        <v>1472</v>
      </c>
      <c r="M34" s="1" t="s">
        <v>634</v>
      </c>
      <c r="X34" s="1" t="s">
        <v>532</v>
      </c>
      <c r="AJ34" s="1" t="s">
        <v>634</v>
      </c>
      <c r="AT34" s="1" t="s">
        <v>2673</v>
      </c>
      <c r="BD34" s="1" t="s">
        <v>634</v>
      </c>
      <c r="BN34" s="1" t="s">
        <v>2125</v>
      </c>
      <c r="BX34" s="1" t="s">
        <v>634</v>
      </c>
    </row>
    <row r="35" spans="2:76" x14ac:dyDescent="0.2">
      <c r="B35" s="1" t="s">
        <v>1473</v>
      </c>
      <c r="M35" s="1" t="s">
        <v>537</v>
      </c>
      <c r="AJ35" s="1" t="s">
        <v>537</v>
      </c>
      <c r="AT35" s="1" t="s">
        <v>2674</v>
      </c>
      <c r="BD35" s="1" t="s">
        <v>537</v>
      </c>
      <c r="BN35" s="1" t="s">
        <v>2902</v>
      </c>
      <c r="BX35" s="1" t="s">
        <v>537</v>
      </c>
    </row>
    <row r="36" spans="2:76" x14ac:dyDescent="0.2">
      <c r="B36" s="1" t="s">
        <v>1474</v>
      </c>
      <c r="M36" s="1" t="s">
        <v>535</v>
      </c>
      <c r="X36" s="1" t="s">
        <v>538</v>
      </c>
      <c r="AJ36" s="1" t="s">
        <v>535</v>
      </c>
      <c r="AT36" s="1" t="s">
        <v>2125</v>
      </c>
      <c r="BD36" s="1" t="s">
        <v>535</v>
      </c>
      <c r="BN36" s="1" t="s">
        <v>2121</v>
      </c>
      <c r="BX36" s="1" t="s">
        <v>535</v>
      </c>
    </row>
    <row r="37" spans="2:76" x14ac:dyDescent="0.2">
      <c r="B37" s="1" t="s">
        <v>1475</v>
      </c>
      <c r="M37" s="1" t="s">
        <v>536</v>
      </c>
      <c r="X37" s="1" t="s">
        <v>2506</v>
      </c>
      <c r="AJ37" s="1" t="s">
        <v>536</v>
      </c>
      <c r="AT37" s="1" t="s">
        <v>2675</v>
      </c>
      <c r="BD37" s="1" t="s">
        <v>536</v>
      </c>
      <c r="BN37" s="1" t="s">
        <v>2903</v>
      </c>
      <c r="BX37" s="1" t="s">
        <v>536</v>
      </c>
    </row>
    <row r="38" spans="2:76" x14ac:dyDescent="0.2">
      <c r="B38" s="1" t="s">
        <v>1476</v>
      </c>
      <c r="X38" s="1" t="s">
        <v>544</v>
      </c>
    </row>
    <row r="39" spans="2:76" x14ac:dyDescent="0.2">
      <c r="B39" s="1" t="s">
        <v>1477</v>
      </c>
      <c r="M39" s="2" t="s">
        <v>635</v>
      </c>
      <c r="X39" s="1" t="s">
        <v>545</v>
      </c>
      <c r="AJ39" s="2" t="s">
        <v>2518</v>
      </c>
      <c r="AT39" s="2" t="s">
        <v>2676</v>
      </c>
      <c r="BD39" s="2" t="s">
        <v>2676</v>
      </c>
      <c r="BN39" s="2" t="s">
        <v>2904</v>
      </c>
      <c r="BX39" s="2" t="s">
        <v>2904</v>
      </c>
    </row>
    <row r="40" spans="2:76" x14ac:dyDescent="0.2">
      <c r="B40" s="1" t="s">
        <v>1478</v>
      </c>
      <c r="M40" s="1" t="s">
        <v>538</v>
      </c>
      <c r="X40" s="1" t="s">
        <v>546</v>
      </c>
      <c r="AJ40" s="1" t="s">
        <v>538</v>
      </c>
      <c r="AT40" s="1" t="s">
        <v>538</v>
      </c>
      <c r="BD40" s="1" t="s">
        <v>538</v>
      </c>
      <c r="BN40" s="1" t="s">
        <v>538</v>
      </c>
      <c r="BX40" s="1" t="s">
        <v>538</v>
      </c>
    </row>
    <row r="41" spans="2:76" x14ac:dyDescent="0.2">
      <c r="B41" s="1" t="s">
        <v>1479</v>
      </c>
      <c r="M41" s="1" t="s">
        <v>546</v>
      </c>
      <c r="X41" s="1" t="s">
        <v>636</v>
      </c>
      <c r="AJ41" s="1" t="s">
        <v>546</v>
      </c>
      <c r="AT41" s="1" t="s">
        <v>2506</v>
      </c>
      <c r="BD41" s="1" t="s">
        <v>546</v>
      </c>
      <c r="BN41" s="1" t="s">
        <v>2506</v>
      </c>
      <c r="BX41" s="1" t="s">
        <v>546</v>
      </c>
    </row>
    <row r="42" spans="2:76" x14ac:dyDescent="0.2">
      <c r="B42" s="1" t="s">
        <v>1480</v>
      </c>
      <c r="M42" s="1" t="s">
        <v>540</v>
      </c>
      <c r="X42" s="1" t="s">
        <v>2126</v>
      </c>
      <c r="AJ42" s="1" t="s">
        <v>540</v>
      </c>
      <c r="AT42" s="1" t="s">
        <v>544</v>
      </c>
      <c r="BD42" s="1" t="s">
        <v>540</v>
      </c>
      <c r="BN42" s="1" t="s">
        <v>544</v>
      </c>
      <c r="BX42" s="1" t="s">
        <v>540</v>
      </c>
    </row>
    <row r="43" spans="2:76" x14ac:dyDescent="0.2">
      <c r="B43" s="1" t="s">
        <v>1481</v>
      </c>
      <c r="M43" s="1" t="s">
        <v>541</v>
      </c>
      <c r="X43" s="1" t="s">
        <v>2127</v>
      </c>
      <c r="AJ43" s="1" t="s">
        <v>541</v>
      </c>
      <c r="AT43" s="1" t="s">
        <v>545</v>
      </c>
      <c r="BD43" s="1" t="s">
        <v>541</v>
      </c>
      <c r="BN43" s="1" t="s">
        <v>545</v>
      </c>
      <c r="BX43" s="1" t="s">
        <v>541</v>
      </c>
    </row>
    <row r="44" spans="2:76" x14ac:dyDescent="0.2">
      <c r="B44" s="1" t="s">
        <v>1482</v>
      </c>
      <c r="M44" s="1" t="s">
        <v>542</v>
      </c>
      <c r="X44" s="1" t="s">
        <v>2128</v>
      </c>
      <c r="AJ44" s="1" t="s">
        <v>542</v>
      </c>
      <c r="AT44" s="1" t="s">
        <v>546</v>
      </c>
      <c r="BD44" s="1" t="s">
        <v>542</v>
      </c>
      <c r="BN44" s="1" t="s">
        <v>546</v>
      </c>
      <c r="BX44" s="1" t="s">
        <v>542</v>
      </c>
    </row>
    <row r="45" spans="2:76" x14ac:dyDescent="0.2">
      <c r="B45" s="1" t="s">
        <v>1483</v>
      </c>
      <c r="M45" s="1" t="s">
        <v>543</v>
      </c>
      <c r="X45" s="1" t="s">
        <v>2507</v>
      </c>
      <c r="AJ45" s="1" t="s">
        <v>543</v>
      </c>
      <c r="AT45" s="1" t="s">
        <v>636</v>
      </c>
      <c r="BD45" s="1" t="s">
        <v>543</v>
      </c>
      <c r="BN45" s="1" t="s">
        <v>636</v>
      </c>
      <c r="BX45" s="1" t="s">
        <v>543</v>
      </c>
    </row>
    <row r="46" spans="2:76" x14ac:dyDescent="0.2">
      <c r="B46" s="1" t="s">
        <v>1484</v>
      </c>
      <c r="M46" s="1" t="s">
        <v>544</v>
      </c>
      <c r="AJ46" s="1" t="s">
        <v>544</v>
      </c>
      <c r="AT46" s="1" t="s">
        <v>2126</v>
      </c>
      <c r="BD46" s="1" t="s">
        <v>544</v>
      </c>
      <c r="BN46" s="1" t="s">
        <v>2126</v>
      </c>
      <c r="BX46" s="1" t="s">
        <v>544</v>
      </c>
    </row>
    <row r="47" spans="2:76" x14ac:dyDescent="0.2">
      <c r="B47" s="1" t="s">
        <v>1485</v>
      </c>
      <c r="M47" s="1" t="s">
        <v>545</v>
      </c>
      <c r="X47" s="1" t="s">
        <v>2129</v>
      </c>
      <c r="AJ47" s="1" t="s">
        <v>545</v>
      </c>
      <c r="AT47" s="1" t="s">
        <v>2127</v>
      </c>
      <c r="BD47" s="1" t="s">
        <v>545</v>
      </c>
      <c r="BN47" s="1" t="s">
        <v>2127</v>
      </c>
      <c r="BX47" s="1" t="s">
        <v>545</v>
      </c>
    </row>
    <row r="48" spans="2:76" x14ac:dyDescent="0.2">
      <c r="B48" s="1" t="s">
        <v>1486</v>
      </c>
      <c r="M48" s="1" t="s">
        <v>636</v>
      </c>
      <c r="X48" s="1" t="s">
        <v>2152</v>
      </c>
      <c r="AJ48" s="1" t="s">
        <v>636</v>
      </c>
      <c r="AT48" s="1" t="s">
        <v>2128</v>
      </c>
      <c r="BD48" s="1" t="s">
        <v>636</v>
      </c>
      <c r="BN48" s="1" t="s">
        <v>2128</v>
      </c>
      <c r="BX48" s="1" t="s">
        <v>636</v>
      </c>
    </row>
    <row r="49" spans="2:76" x14ac:dyDescent="0.2">
      <c r="B49" s="1" t="s">
        <v>1487</v>
      </c>
      <c r="M49" s="1" t="s">
        <v>539</v>
      </c>
      <c r="X49" s="1" t="s">
        <v>548</v>
      </c>
      <c r="AJ49" s="1" t="s">
        <v>539</v>
      </c>
      <c r="AT49" s="1" t="s">
        <v>2507</v>
      </c>
      <c r="BD49" s="1" t="s">
        <v>539</v>
      </c>
      <c r="BN49" s="1" t="s">
        <v>2507</v>
      </c>
      <c r="BX49" s="1" t="s">
        <v>539</v>
      </c>
    </row>
    <row r="50" spans="2:76" x14ac:dyDescent="0.2">
      <c r="B50" s="1" t="s">
        <v>1488</v>
      </c>
      <c r="X50" s="1" t="s">
        <v>551</v>
      </c>
    </row>
    <row r="51" spans="2:76" x14ac:dyDescent="0.2">
      <c r="B51" s="1" t="s">
        <v>1489</v>
      </c>
      <c r="M51" s="2" t="s">
        <v>637</v>
      </c>
      <c r="X51" s="1" t="s">
        <v>2130</v>
      </c>
      <c r="AJ51" s="2" t="s">
        <v>2519</v>
      </c>
      <c r="AT51" s="2" t="s">
        <v>2677</v>
      </c>
      <c r="BD51" s="2" t="s">
        <v>2677</v>
      </c>
      <c r="BN51" s="2" t="s">
        <v>2905</v>
      </c>
      <c r="BX51" s="2" t="s">
        <v>2905</v>
      </c>
    </row>
    <row r="52" spans="2:76" x14ac:dyDescent="0.2">
      <c r="B52" s="1" t="s">
        <v>1490</v>
      </c>
      <c r="M52" s="1" t="s">
        <v>638</v>
      </c>
      <c r="X52" s="1" t="s">
        <v>552</v>
      </c>
      <c r="AJ52" s="1" t="s">
        <v>638</v>
      </c>
      <c r="AT52" s="1" t="s">
        <v>2129</v>
      </c>
      <c r="BD52" s="1" t="s">
        <v>638</v>
      </c>
      <c r="BN52" s="1" t="s">
        <v>2129</v>
      </c>
      <c r="BX52" s="1" t="s">
        <v>2918</v>
      </c>
    </row>
    <row r="53" spans="2:76" x14ac:dyDescent="0.2">
      <c r="B53" s="1" t="s">
        <v>1491</v>
      </c>
      <c r="M53" s="1" t="s">
        <v>555</v>
      </c>
      <c r="X53" s="1" t="s">
        <v>2508</v>
      </c>
      <c r="AJ53" s="1" t="s">
        <v>555</v>
      </c>
      <c r="AT53" s="1" t="s">
        <v>2152</v>
      </c>
      <c r="BD53" s="1" t="s">
        <v>2152</v>
      </c>
      <c r="BN53" s="1" t="s">
        <v>551</v>
      </c>
      <c r="BX53" s="1" t="s">
        <v>555</v>
      </c>
    </row>
    <row r="54" spans="2:76" x14ac:dyDescent="0.2">
      <c r="B54" s="1" t="s">
        <v>1492</v>
      </c>
      <c r="M54" s="1" t="s">
        <v>639</v>
      </c>
      <c r="X54" s="1" t="s">
        <v>2509</v>
      </c>
      <c r="AJ54" s="1" t="s">
        <v>2520</v>
      </c>
      <c r="AT54" s="1" t="s">
        <v>551</v>
      </c>
      <c r="BD54" s="1" t="s">
        <v>639</v>
      </c>
      <c r="BN54" s="1" t="s">
        <v>547</v>
      </c>
      <c r="BX54" s="1" t="s">
        <v>639</v>
      </c>
    </row>
    <row r="55" spans="2:76" x14ac:dyDescent="0.2">
      <c r="B55" s="1" t="s">
        <v>1493</v>
      </c>
      <c r="M55" s="1" t="s">
        <v>640</v>
      </c>
      <c r="X55" s="1" t="s">
        <v>547</v>
      </c>
      <c r="AJ55" s="1" t="s">
        <v>640</v>
      </c>
      <c r="AT55" s="1" t="s">
        <v>2130</v>
      </c>
      <c r="BD55" s="1" t="s">
        <v>640</v>
      </c>
      <c r="BN55" s="1" t="s">
        <v>553</v>
      </c>
      <c r="BX55" s="1" t="s">
        <v>640</v>
      </c>
    </row>
    <row r="56" spans="2:76" x14ac:dyDescent="0.2">
      <c r="B56" s="1" t="s">
        <v>1494</v>
      </c>
      <c r="M56" s="1" t="s">
        <v>641</v>
      </c>
      <c r="X56" s="1" t="s">
        <v>638</v>
      </c>
      <c r="AJ56" s="1" t="s">
        <v>641</v>
      </c>
      <c r="AT56" s="1" t="s">
        <v>550</v>
      </c>
      <c r="BD56" s="1" t="s">
        <v>641</v>
      </c>
      <c r="BN56" s="1" t="s">
        <v>554</v>
      </c>
      <c r="BX56" s="1" t="s">
        <v>641</v>
      </c>
    </row>
    <row r="57" spans="2:76" x14ac:dyDescent="0.2">
      <c r="B57" s="1" t="s">
        <v>1495</v>
      </c>
      <c r="M57" s="1" t="s">
        <v>548</v>
      </c>
      <c r="AJ57" s="1" t="s">
        <v>548</v>
      </c>
      <c r="AT57" s="1" t="s">
        <v>547</v>
      </c>
      <c r="BD57" s="1" t="s">
        <v>548</v>
      </c>
      <c r="BN57" s="1" t="s">
        <v>548</v>
      </c>
      <c r="BX57" s="1" t="s">
        <v>548</v>
      </c>
    </row>
    <row r="58" spans="2:76" x14ac:dyDescent="0.2">
      <c r="B58" s="1" t="s">
        <v>1496</v>
      </c>
      <c r="M58" s="1" t="s">
        <v>549</v>
      </c>
      <c r="X58" s="1" t="s">
        <v>563</v>
      </c>
      <c r="AJ58" s="1" t="s">
        <v>549</v>
      </c>
      <c r="AT58" s="1" t="s">
        <v>553</v>
      </c>
      <c r="BD58" s="1" t="s">
        <v>549</v>
      </c>
      <c r="BN58" s="1" t="s">
        <v>549</v>
      </c>
      <c r="BX58" s="1" t="s">
        <v>549</v>
      </c>
    </row>
    <row r="59" spans="2:76" x14ac:dyDescent="0.2">
      <c r="B59" s="1" t="s">
        <v>1497</v>
      </c>
      <c r="M59" s="1" t="s">
        <v>550</v>
      </c>
      <c r="X59" s="1" t="s">
        <v>564</v>
      </c>
      <c r="AJ59" s="1" t="s">
        <v>550</v>
      </c>
      <c r="AT59" s="1" t="s">
        <v>554</v>
      </c>
      <c r="BD59" s="1" t="s">
        <v>550</v>
      </c>
      <c r="BN59" s="1" t="s">
        <v>550</v>
      </c>
      <c r="BX59" s="1" t="s">
        <v>550</v>
      </c>
    </row>
    <row r="60" spans="2:76" x14ac:dyDescent="0.2">
      <c r="B60" s="1" t="s">
        <v>1498</v>
      </c>
      <c r="M60" s="1" t="s">
        <v>547</v>
      </c>
      <c r="X60" s="1" t="s">
        <v>2131</v>
      </c>
      <c r="AJ60" s="1" t="s">
        <v>547</v>
      </c>
      <c r="AT60" s="1" t="s">
        <v>552</v>
      </c>
      <c r="BD60" s="1" t="s">
        <v>547</v>
      </c>
      <c r="BN60" s="1" t="s">
        <v>552</v>
      </c>
      <c r="BX60" s="1" t="s">
        <v>547</v>
      </c>
    </row>
    <row r="61" spans="2:76" x14ac:dyDescent="0.2">
      <c r="B61" s="1" t="s">
        <v>1499</v>
      </c>
      <c r="M61" s="1" t="s">
        <v>551</v>
      </c>
      <c r="X61" s="1" t="s">
        <v>561</v>
      </c>
      <c r="AJ61" s="1" t="s">
        <v>551</v>
      </c>
      <c r="AT61" s="1" t="s">
        <v>548</v>
      </c>
      <c r="BD61" s="1" t="s">
        <v>551</v>
      </c>
      <c r="BN61" s="1" t="s">
        <v>638</v>
      </c>
      <c r="BX61" s="1" t="s">
        <v>551</v>
      </c>
    </row>
    <row r="62" spans="2:76" x14ac:dyDescent="0.2">
      <c r="B62" s="1" t="s">
        <v>1500</v>
      </c>
      <c r="X62" s="1" t="s">
        <v>560</v>
      </c>
    </row>
    <row r="63" spans="2:76" x14ac:dyDescent="0.2">
      <c r="B63" s="1" t="s">
        <v>1501</v>
      </c>
      <c r="M63" s="2" t="s">
        <v>642</v>
      </c>
      <c r="X63" s="1" t="s">
        <v>559</v>
      </c>
      <c r="AJ63" s="2" t="s">
        <v>2521</v>
      </c>
      <c r="AT63" s="2" t="s">
        <v>2678</v>
      </c>
      <c r="BD63" s="2" t="s">
        <v>2678</v>
      </c>
      <c r="BN63" s="2" t="s">
        <v>2906</v>
      </c>
      <c r="BX63" s="2" t="s">
        <v>2906</v>
      </c>
    </row>
    <row r="64" spans="2:76" x14ac:dyDescent="0.2">
      <c r="B64" s="1" t="s">
        <v>1502</v>
      </c>
      <c r="M64" s="1" t="s">
        <v>556</v>
      </c>
      <c r="X64" s="1" t="s">
        <v>2132</v>
      </c>
      <c r="AJ64" s="1" t="s">
        <v>556</v>
      </c>
      <c r="AT64" s="1" t="s">
        <v>563</v>
      </c>
      <c r="BD64" s="1" t="s">
        <v>556</v>
      </c>
      <c r="BN64" s="1" t="s">
        <v>563</v>
      </c>
      <c r="BX64" s="1" t="s">
        <v>556</v>
      </c>
    </row>
    <row r="65" spans="2:76" x14ac:dyDescent="0.2">
      <c r="B65" s="1" t="s">
        <v>1503</v>
      </c>
      <c r="M65" s="1" t="s">
        <v>557</v>
      </c>
      <c r="X65" s="1" t="s">
        <v>2133</v>
      </c>
      <c r="AJ65" s="1" t="s">
        <v>557</v>
      </c>
      <c r="AT65" s="1" t="s">
        <v>2131</v>
      </c>
      <c r="BD65" s="1" t="s">
        <v>557</v>
      </c>
      <c r="BN65" s="1" t="s">
        <v>2131</v>
      </c>
      <c r="BX65" s="1" t="s">
        <v>557</v>
      </c>
    </row>
    <row r="66" spans="2:76" x14ac:dyDescent="0.2">
      <c r="B66" s="1" t="s">
        <v>1504</v>
      </c>
      <c r="M66" s="1" t="s">
        <v>558</v>
      </c>
      <c r="X66" s="1" t="s">
        <v>558</v>
      </c>
      <c r="AJ66" s="1" t="s">
        <v>558</v>
      </c>
      <c r="AT66" s="1" t="s">
        <v>2133</v>
      </c>
      <c r="BD66" s="1" t="s">
        <v>558</v>
      </c>
      <c r="BN66" s="1" t="s">
        <v>643</v>
      </c>
      <c r="BX66" s="1" t="s">
        <v>558</v>
      </c>
    </row>
    <row r="67" spans="2:76" x14ac:dyDescent="0.2">
      <c r="B67" s="1" t="s">
        <v>1505</v>
      </c>
      <c r="M67" s="1" t="s">
        <v>559</v>
      </c>
      <c r="X67" s="1" t="s">
        <v>643</v>
      </c>
      <c r="AJ67" s="1" t="s">
        <v>559</v>
      </c>
      <c r="AT67" s="1" t="s">
        <v>2132</v>
      </c>
      <c r="BD67" s="1" t="s">
        <v>559</v>
      </c>
      <c r="BN67" s="1" t="s">
        <v>561</v>
      </c>
      <c r="BX67" s="1" t="s">
        <v>559</v>
      </c>
    </row>
    <row r="68" spans="2:76" x14ac:dyDescent="0.2">
      <c r="B68" s="1" t="s">
        <v>1506</v>
      </c>
      <c r="M68" s="1" t="s">
        <v>560</v>
      </c>
      <c r="AJ68" s="1" t="s">
        <v>560</v>
      </c>
      <c r="AT68" s="1" t="s">
        <v>643</v>
      </c>
      <c r="BD68" s="1" t="s">
        <v>560</v>
      </c>
      <c r="BN68" s="1" t="s">
        <v>559</v>
      </c>
      <c r="BX68" s="1" t="s">
        <v>560</v>
      </c>
    </row>
    <row r="69" spans="2:76" x14ac:dyDescent="0.2">
      <c r="B69" s="1" t="s">
        <v>1507</v>
      </c>
      <c r="M69" s="1" t="s">
        <v>561</v>
      </c>
      <c r="X69" s="1" t="s">
        <v>566</v>
      </c>
      <c r="AJ69" s="1" t="s">
        <v>561</v>
      </c>
      <c r="AT69" s="1" t="s">
        <v>558</v>
      </c>
      <c r="BD69" s="1" t="s">
        <v>561</v>
      </c>
      <c r="BN69" s="1" t="s">
        <v>560</v>
      </c>
      <c r="BX69" s="1" t="s">
        <v>561</v>
      </c>
    </row>
    <row r="70" spans="2:76" x14ac:dyDescent="0.2">
      <c r="B70" s="1" t="s">
        <v>1508</v>
      </c>
      <c r="M70" s="1" t="s">
        <v>643</v>
      </c>
      <c r="X70" s="1" t="s">
        <v>567</v>
      </c>
      <c r="AJ70" s="1" t="s">
        <v>643</v>
      </c>
      <c r="AT70" s="1" t="s">
        <v>561</v>
      </c>
      <c r="BD70" s="1" t="s">
        <v>643</v>
      </c>
      <c r="BN70" s="1" t="s">
        <v>2132</v>
      </c>
      <c r="BX70" s="1" t="s">
        <v>643</v>
      </c>
    </row>
    <row r="71" spans="2:76" x14ac:dyDescent="0.2">
      <c r="B71" s="1" t="s">
        <v>1509</v>
      </c>
      <c r="M71" s="1" t="s">
        <v>562</v>
      </c>
      <c r="X71" s="1" t="s">
        <v>568</v>
      </c>
      <c r="AJ71" s="1" t="s">
        <v>562</v>
      </c>
      <c r="AT71" s="1" t="s">
        <v>559</v>
      </c>
      <c r="BD71" s="1" t="s">
        <v>562</v>
      </c>
      <c r="BN71" s="1" t="s">
        <v>2133</v>
      </c>
      <c r="BX71" s="1" t="s">
        <v>562</v>
      </c>
    </row>
    <row r="72" spans="2:76" x14ac:dyDescent="0.2">
      <c r="B72" s="1" t="s">
        <v>1510</v>
      </c>
      <c r="M72" s="1" t="s">
        <v>564</v>
      </c>
      <c r="X72" s="1" t="s">
        <v>569</v>
      </c>
      <c r="AJ72" s="1" t="s">
        <v>564</v>
      </c>
      <c r="AT72" s="1" t="s">
        <v>564</v>
      </c>
      <c r="BD72" s="1" t="s">
        <v>564</v>
      </c>
      <c r="BN72" s="1" t="s">
        <v>564</v>
      </c>
      <c r="BX72" s="1" t="s">
        <v>564</v>
      </c>
    </row>
    <row r="73" spans="2:76" x14ac:dyDescent="0.2">
      <c r="B73" s="1" t="s">
        <v>1511</v>
      </c>
      <c r="M73" s="1" t="s">
        <v>565</v>
      </c>
      <c r="X73" s="1" t="s">
        <v>2510</v>
      </c>
      <c r="AJ73" s="1" t="s">
        <v>565</v>
      </c>
      <c r="AT73" s="1" t="s">
        <v>560</v>
      </c>
      <c r="BD73" s="1" t="s">
        <v>565</v>
      </c>
      <c r="BN73" s="1" t="s">
        <v>558</v>
      </c>
      <c r="BX73" s="1" t="s">
        <v>565</v>
      </c>
    </row>
    <row r="74" spans="2:76" x14ac:dyDescent="0.2">
      <c r="B74" s="1" t="s">
        <v>1512</v>
      </c>
      <c r="X74" s="1" t="s">
        <v>570</v>
      </c>
    </row>
    <row r="75" spans="2:76" x14ac:dyDescent="0.2">
      <c r="B75" s="1" t="s">
        <v>1513</v>
      </c>
      <c r="M75" s="2" t="s">
        <v>644</v>
      </c>
      <c r="X75" s="1" t="s">
        <v>2134</v>
      </c>
      <c r="AJ75" s="2" t="s">
        <v>2522</v>
      </c>
      <c r="AT75" s="2" t="s">
        <v>2679</v>
      </c>
      <c r="BD75" s="2" t="s">
        <v>2679</v>
      </c>
      <c r="BN75" s="2" t="s">
        <v>2907</v>
      </c>
      <c r="BX75" s="2" t="s">
        <v>2907</v>
      </c>
    </row>
    <row r="76" spans="2:76" x14ac:dyDescent="0.2">
      <c r="B76" s="1" t="s">
        <v>1514</v>
      </c>
      <c r="M76" s="1" t="s">
        <v>566</v>
      </c>
      <c r="X76" s="1" t="s">
        <v>572</v>
      </c>
      <c r="AJ76" s="1" t="s">
        <v>566</v>
      </c>
      <c r="AT76" s="1" t="s">
        <v>566</v>
      </c>
      <c r="BD76" s="1" t="s">
        <v>566</v>
      </c>
      <c r="BN76" s="1" t="s">
        <v>566</v>
      </c>
      <c r="BX76" s="1" t="s">
        <v>566</v>
      </c>
    </row>
    <row r="77" spans="2:76" x14ac:dyDescent="0.2">
      <c r="B77" s="1" t="s">
        <v>1515</v>
      </c>
      <c r="M77" s="1" t="s">
        <v>572</v>
      </c>
      <c r="X77" s="1" t="s">
        <v>2135</v>
      </c>
      <c r="AJ77" s="1" t="s">
        <v>572</v>
      </c>
      <c r="AT77" s="1" t="s">
        <v>571</v>
      </c>
      <c r="BD77" s="1" t="s">
        <v>572</v>
      </c>
      <c r="BN77" s="1" t="s">
        <v>567</v>
      </c>
      <c r="BX77" s="1" t="s">
        <v>572</v>
      </c>
    </row>
    <row r="78" spans="2:76" x14ac:dyDescent="0.2">
      <c r="B78" s="1" t="s">
        <v>1516</v>
      </c>
      <c r="M78" s="1" t="s">
        <v>567</v>
      </c>
      <c r="X78" s="1" t="s">
        <v>2136</v>
      </c>
      <c r="AJ78" s="1" t="s">
        <v>567</v>
      </c>
      <c r="AT78" s="1" t="s">
        <v>572</v>
      </c>
      <c r="BD78" s="1" t="s">
        <v>567</v>
      </c>
      <c r="BN78" s="1" t="s">
        <v>568</v>
      </c>
      <c r="BX78" s="1" t="s">
        <v>567</v>
      </c>
    </row>
    <row r="79" spans="2:76" x14ac:dyDescent="0.2">
      <c r="B79" s="1" t="s">
        <v>1517</v>
      </c>
      <c r="M79" s="1" t="s">
        <v>571</v>
      </c>
      <c r="AJ79" s="1" t="s">
        <v>571</v>
      </c>
      <c r="AT79" s="1" t="s">
        <v>570</v>
      </c>
      <c r="BD79" s="1" t="s">
        <v>571</v>
      </c>
      <c r="BN79" s="1" t="s">
        <v>569</v>
      </c>
      <c r="BX79" s="1" t="s">
        <v>571</v>
      </c>
    </row>
    <row r="80" spans="2:76" x14ac:dyDescent="0.2">
      <c r="B80" s="1" t="s">
        <v>1518</v>
      </c>
      <c r="M80" s="1" t="s">
        <v>568</v>
      </c>
      <c r="X80" s="1" t="s">
        <v>574</v>
      </c>
      <c r="AJ80" s="1" t="s">
        <v>568</v>
      </c>
      <c r="AT80" s="1" t="s">
        <v>569</v>
      </c>
      <c r="BD80" s="1" t="s">
        <v>568</v>
      </c>
      <c r="BN80" s="1" t="s">
        <v>571</v>
      </c>
      <c r="BX80" s="1" t="s">
        <v>568</v>
      </c>
    </row>
    <row r="81" spans="2:76" x14ac:dyDescent="0.2">
      <c r="B81" s="1" t="s">
        <v>1519</v>
      </c>
      <c r="M81" s="1" t="s">
        <v>569</v>
      </c>
      <c r="X81" s="1" t="s">
        <v>2511</v>
      </c>
      <c r="AJ81" s="1" t="s">
        <v>569</v>
      </c>
      <c r="AT81" s="1" t="s">
        <v>2134</v>
      </c>
      <c r="BD81" s="1" t="s">
        <v>569</v>
      </c>
      <c r="BN81" s="1" t="s">
        <v>570</v>
      </c>
      <c r="BX81" s="1" t="s">
        <v>569</v>
      </c>
    </row>
    <row r="82" spans="2:76" x14ac:dyDescent="0.2">
      <c r="B82" s="1" t="s">
        <v>1520</v>
      </c>
      <c r="M82" s="1" t="s">
        <v>570</v>
      </c>
      <c r="X82" s="1" t="s">
        <v>576</v>
      </c>
      <c r="AJ82" s="1" t="s">
        <v>570</v>
      </c>
      <c r="AT82" s="1" t="s">
        <v>568</v>
      </c>
      <c r="BD82" s="1" t="s">
        <v>570</v>
      </c>
      <c r="BN82" s="1" t="s">
        <v>2134</v>
      </c>
      <c r="BX82" s="1" t="s">
        <v>570</v>
      </c>
    </row>
    <row r="83" spans="2:76" x14ac:dyDescent="0.2">
      <c r="B83" s="1" t="s">
        <v>1521</v>
      </c>
      <c r="M83" s="1" t="s">
        <v>573</v>
      </c>
      <c r="X83" s="1" t="s">
        <v>577</v>
      </c>
      <c r="AJ83" s="1" t="s">
        <v>573</v>
      </c>
      <c r="AT83" s="1" t="s">
        <v>567</v>
      </c>
      <c r="BD83" s="1" t="s">
        <v>573</v>
      </c>
      <c r="BN83" s="1" t="s">
        <v>572</v>
      </c>
      <c r="BX83" s="1" t="s">
        <v>573</v>
      </c>
    </row>
    <row r="84" spans="2:76" x14ac:dyDescent="0.2">
      <c r="B84" s="1" t="s">
        <v>1522</v>
      </c>
      <c r="M84" s="1" t="s">
        <v>645</v>
      </c>
      <c r="X84" s="1" t="s">
        <v>579</v>
      </c>
      <c r="AJ84" s="1" t="s">
        <v>645</v>
      </c>
      <c r="AT84" s="1" t="s">
        <v>2680</v>
      </c>
      <c r="BD84" s="1" t="s">
        <v>645</v>
      </c>
      <c r="BN84" s="1" t="s">
        <v>2135</v>
      </c>
      <c r="BX84" s="1" t="s">
        <v>645</v>
      </c>
    </row>
    <row r="85" spans="2:76" x14ac:dyDescent="0.2">
      <c r="B85" s="1" t="s">
        <v>1523</v>
      </c>
      <c r="M85" s="1" t="s">
        <v>646</v>
      </c>
      <c r="X85" s="1" t="s">
        <v>581</v>
      </c>
      <c r="AJ85" s="1" t="s">
        <v>646</v>
      </c>
      <c r="AT85" s="1" t="s">
        <v>2681</v>
      </c>
      <c r="BD85" s="1" t="s">
        <v>646</v>
      </c>
      <c r="BN85" s="1" t="s">
        <v>2136</v>
      </c>
      <c r="BX85" s="1" t="s">
        <v>646</v>
      </c>
    </row>
    <row r="86" spans="2:76" x14ac:dyDescent="0.2">
      <c r="B86" s="1" t="s">
        <v>1524</v>
      </c>
      <c r="X86" s="1" t="s">
        <v>2137</v>
      </c>
    </row>
    <row r="87" spans="2:76" x14ac:dyDescent="0.2">
      <c r="B87" s="1" t="s">
        <v>1525</v>
      </c>
      <c r="M87" s="2" t="s">
        <v>647</v>
      </c>
      <c r="X87" s="1" t="s">
        <v>582</v>
      </c>
      <c r="AJ87" s="2" t="s">
        <v>2523</v>
      </c>
      <c r="AT87" s="2" t="s">
        <v>2682</v>
      </c>
      <c r="BD87" s="2" t="s">
        <v>2682</v>
      </c>
      <c r="BN87" s="2" t="s">
        <v>2908</v>
      </c>
      <c r="BX87" s="2" t="s">
        <v>2908</v>
      </c>
    </row>
    <row r="88" spans="2:76" x14ac:dyDescent="0.2">
      <c r="B88" s="1" t="s">
        <v>1526</v>
      </c>
      <c r="M88" s="1" t="s">
        <v>574</v>
      </c>
      <c r="X88" s="1" t="s">
        <v>652</v>
      </c>
      <c r="AJ88" s="1" t="s">
        <v>574</v>
      </c>
      <c r="AT88" s="1" t="s">
        <v>574</v>
      </c>
      <c r="BD88" s="1" t="s">
        <v>574</v>
      </c>
      <c r="BN88" s="1" t="s">
        <v>574</v>
      </c>
      <c r="BX88" s="1" t="s">
        <v>574</v>
      </c>
    </row>
    <row r="89" spans="2:76" x14ac:dyDescent="0.2">
      <c r="B89" s="1" t="s">
        <v>1527</v>
      </c>
      <c r="M89" s="1" t="s">
        <v>582</v>
      </c>
      <c r="X89" s="1" t="s">
        <v>651</v>
      </c>
      <c r="AJ89" s="1" t="s">
        <v>575</v>
      </c>
      <c r="AT89" s="1" t="s">
        <v>2511</v>
      </c>
      <c r="BD89" s="1" t="s">
        <v>575</v>
      </c>
      <c r="BN89" s="1" t="s">
        <v>2511</v>
      </c>
      <c r="BX89" s="1" t="s">
        <v>575</v>
      </c>
    </row>
    <row r="90" spans="2:76" x14ac:dyDescent="0.2">
      <c r="B90" s="1" t="s">
        <v>1528</v>
      </c>
      <c r="M90" s="1" t="s">
        <v>648</v>
      </c>
      <c r="AJ90" s="1" t="s">
        <v>576</v>
      </c>
      <c r="AT90" s="1" t="s">
        <v>576</v>
      </c>
      <c r="BD90" s="1" t="s">
        <v>576</v>
      </c>
      <c r="BN90" s="1" t="s">
        <v>576</v>
      </c>
      <c r="BX90" s="1" t="s">
        <v>576</v>
      </c>
    </row>
    <row r="91" spans="2:76" x14ac:dyDescent="0.2">
      <c r="B91" s="1" t="s">
        <v>1529</v>
      </c>
      <c r="M91" s="1" t="s">
        <v>649</v>
      </c>
      <c r="X91" s="1" t="s">
        <v>583</v>
      </c>
      <c r="AJ91" s="1" t="s">
        <v>577</v>
      </c>
      <c r="AT91" s="1" t="s">
        <v>577</v>
      </c>
      <c r="BD91" s="1" t="s">
        <v>577</v>
      </c>
      <c r="BN91" s="1" t="s">
        <v>577</v>
      </c>
      <c r="BX91" s="1" t="s">
        <v>577</v>
      </c>
    </row>
    <row r="92" spans="2:76" x14ac:dyDescent="0.2">
      <c r="B92" s="1" t="s">
        <v>1530</v>
      </c>
      <c r="M92" s="1" t="s">
        <v>650</v>
      </c>
      <c r="X92" s="1" t="s">
        <v>2139</v>
      </c>
      <c r="AJ92" s="1" t="s">
        <v>578</v>
      </c>
      <c r="AT92" s="1" t="s">
        <v>579</v>
      </c>
      <c r="BD92" s="1" t="s">
        <v>578</v>
      </c>
      <c r="BN92" s="1" t="s">
        <v>579</v>
      </c>
      <c r="BX92" s="1" t="s">
        <v>578</v>
      </c>
    </row>
    <row r="93" spans="2:76" x14ac:dyDescent="0.2">
      <c r="B93" s="1" t="s">
        <v>1531</v>
      </c>
      <c r="M93" s="1" t="s">
        <v>651</v>
      </c>
      <c r="X93" s="1" t="s">
        <v>584</v>
      </c>
      <c r="AJ93" s="1" t="s">
        <v>579</v>
      </c>
      <c r="AT93" s="1" t="s">
        <v>581</v>
      </c>
      <c r="BD93" s="1" t="s">
        <v>579</v>
      </c>
      <c r="BN93" s="1" t="s">
        <v>581</v>
      </c>
      <c r="BX93" s="1" t="s">
        <v>579</v>
      </c>
    </row>
    <row r="94" spans="2:76" x14ac:dyDescent="0.2">
      <c r="B94" s="1" t="s">
        <v>1532</v>
      </c>
      <c r="M94" s="1" t="s">
        <v>652</v>
      </c>
      <c r="X94" s="1" t="s">
        <v>588</v>
      </c>
      <c r="AJ94" s="1" t="s">
        <v>580</v>
      </c>
      <c r="AT94" s="1" t="s">
        <v>2137</v>
      </c>
      <c r="BD94" s="1" t="s">
        <v>580</v>
      </c>
      <c r="BN94" s="1" t="s">
        <v>2137</v>
      </c>
      <c r="BX94" s="1" t="s">
        <v>580</v>
      </c>
    </row>
    <row r="95" spans="2:76" x14ac:dyDescent="0.2">
      <c r="B95" s="1" t="s">
        <v>1533</v>
      </c>
      <c r="M95" s="1" t="s">
        <v>653</v>
      </c>
      <c r="X95" s="1" t="s">
        <v>2138</v>
      </c>
      <c r="AJ95" s="1" t="s">
        <v>581</v>
      </c>
      <c r="AT95" s="1" t="s">
        <v>582</v>
      </c>
      <c r="BD95" s="1" t="s">
        <v>581</v>
      </c>
      <c r="BN95" s="1" t="s">
        <v>582</v>
      </c>
      <c r="BX95" s="1" t="s">
        <v>581</v>
      </c>
    </row>
    <row r="96" spans="2:76" x14ac:dyDescent="0.2">
      <c r="B96" s="1" t="s">
        <v>1534</v>
      </c>
      <c r="M96" s="1" t="s">
        <v>581</v>
      </c>
      <c r="X96" s="1" t="s">
        <v>589</v>
      </c>
      <c r="AJ96" s="1" t="s">
        <v>582</v>
      </c>
      <c r="AT96" s="1" t="s">
        <v>652</v>
      </c>
      <c r="BD96" s="1" t="s">
        <v>582</v>
      </c>
      <c r="BN96" s="1" t="s">
        <v>652</v>
      </c>
      <c r="BX96" s="1" t="s">
        <v>582</v>
      </c>
    </row>
    <row r="97" spans="2:76" x14ac:dyDescent="0.2">
      <c r="B97" s="1" t="s">
        <v>1535</v>
      </c>
      <c r="M97" s="1" t="s">
        <v>575</v>
      </c>
      <c r="X97" s="1" t="s">
        <v>2140</v>
      </c>
      <c r="AJ97" s="1" t="s">
        <v>653</v>
      </c>
      <c r="AT97" s="1" t="s">
        <v>651</v>
      </c>
      <c r="BD97" s="1" t="s">
        <v>653</v>
      </c>
      <c r="BN97" s="1" t="s">
        <v>651</v>
      </c>
      <c r="BX97" s="1" t="s">
        <v>653</v>
      </c>
    </row>
    <row r="98" spans="2:76" x14ac:dyDescent="0.2">
      <c r="B98" s="1" t="s">
        <v>1536</v>
      </c>
      <c r="X98" s="1" t="s">
        <v>586</v>
      </c>
    </row>
    <row r="99" spans="2:76" x14ac:dyDescent="0.2">
      <c r="B99" s="1" t="s">
        <v>1537</v>
      </c>
      <c r="M99" s="2" t="s">
        <v>654</v>
      </c>
      <c r="X99" s="1" t="s">
        <v>587</v>
      </c>
      <c r="AJ99" s="2" t="s">
        <v>2524</v>
      </c>
      <c r="AT99" s="2" t="s">
        <v>2683</v>
      </c>
      <c r="BD99" s="2" t="s">
        <v>2683</v>
      </c>
      <c r="BN99" s="2" t="s">
        <v>2909</v>
      </c>
      <c r="BX99" s="2" t="s">
        <v>2909</v>
      </c>
    </row>
    <row r="100" spans="2:76" x14ac:dyDescent="0.2">
      <c r="B100" s="1" t="s">
        <v>1538</v>
      </c>
      <c r="M100" s="1" t="s">
        <v>583</v>
      </c>
      <c r="X100" s="1" t="s">
        <v>590</v>
      </c>
      <c r="AJ100" s="1" t="s">
        <v>583</v>
      </c>
      <c r="AT100" s="1" t="s">
        <v>583</v>
      </c>
      <c r="BD100" s="1" t="s">
        <v>583</v>
      </c>
      <c r="BN100" s="1" t="s">
        <v>583</v>
      </c>
      <c r="BX100" s="1" t="s">
        <v>583</v>
      </c>
    </row>
    <row r="101" spans="2:76" x14ac:dyDescent="0.2">
      <c r="B101" s="1" t="s">
        <v>1539</v>
      </c>
      <c r="M101" s="1" t="s">
        <v>592</v>
      </c>
      <c r="AJ101" s="1" t="s">
        <v>592</v>
      </c>
      <c r="AT101" s="1" t="s">
        <v>2139</v>
      </c>
      <c r="BD101" s="1" t="s">
        <v>592</v>
      </c>
      <c r="BN101" s="1" t="s">
        <v>591</v>
      </c>
      <c r="BX101" s="1" t="s">
        <v>592</v>
      </c>
    </row>
    <row r="102" spans="2:76" x14ac:dyDescent="0.2">
      <c r="B102" s="1" t="s">
        <v>1540</v>
      </c>
      <c r="M102" s="1" t="s">
        <v>585</v>
      </c>
      <c r="X102" s="1" t="s">
        <v>598</v>
      </c>
      <c r="AJ102" s="1" t="s">
        <v>585</v>
      </c>
      <c r="AT102" s="1" t="s">
        <v>585</v>
      </c>
      <c r="BD102" s="1" t="s">
        <v>585</v>
      </c>
      <c r="BN102" s="1" t="s">
        <v>584</v>
      </c>
      <c r="BX102" s="1" t="s">
        <v>585</v>
      </c>
    </row>
    <row r="103" spans="2:76" x14ac:dyDescent="0.2">
      <c r="B103" s="1" t="s">
        <v>1541</v>
      </c>
      <c r="M103" s="1" t="s">
        <v>588</v>
      </c>
      <c r="X103" s="1" t="s">
        <v>2141</v>
      </c>
      <c r="AJ103" s="1" t="s">
        <v>588</v>
      </c>
      <c r="AT103" s="1" t="s">
        <v>584</v>
      </c>
      <c r="BD103" s="1" t="s">
        <v>588</v>
      </c>
      <c r="BN103" s="1" t="s">
        <v>585</v>
      </c>
      <c r="BX103" s="1" t="s">
        <v>588</v>
      </c>
    </row>
    <row r="104" spans="2:76" x14ac:dyDescent="0.2">
      <c r="B104" s="1" t="s">
        <v>1542</v>
      </c>
      <c r="M104" s="1" t="s">
        <v>584</v>
      </c>
      <c r="X104" s="1" t="s">
        <v>2142</v>
      </c>
      <c r="AJ104" s="1" t="s">
        <v>584</v>
      </c>
      <c r="AT104" s="1" t="s">
        <v>588</v>
      </c>
      <c r="BD104" s="1" t="s">
        <v>584</v>
      </c>
      <c r="BN104" s="1" t="s">
        <v>588</v>
      </c>
      <c r="BX104" s="1" t="s">
        <v>584</v>
      </c>
    </row>
    <row r="105" spans="2:76" x14ac:dyDescent="0.2">
      <c r="B105" s="1" t="s">
        <v>1543</v>
      </c>
      <c r="M105" s="1" t="s">
        <v>589</v>
      </c>
      <c r="X105" s="1" t="s">
        <v>597</v>
      </c>
      <c r="AJ105" s="1" t="s">
        <v>589</v>
      </c>
      <c r="AT105" s="1" t="s">
        <v>2138</v>
      </c>
      <c r="BD105" s="1" t="s">
        <v>589</v>
      </c>
      <c r="BN105" s="1" t="s">
        <v>2138</v>
      </c>
      <c r="BX105" s="1" t="s">
        <v>589</v>
      </c>
    </row>
    <row r="106" spans="2:76" x14ac:dyDescent="0.2">
      <c r="B106" s="1" t="s">
        <v>1544</v>
      </c>
      <c r="M106" s="1" t="s">
        <v>590</v>
      </c>
      <c r="X106" s="1" t="s">
        <v>595</v>
      </c>
      <c r="AJ106" s="1" t="s">
        <v>590</v>
      </c>
      <c r="AT106" s="1" t="s">
        <v>589</v>
      </c>
      <c r="BD106" s="1" t="s">
        <v>590</v>
      </c>
      <c r="BN106" s="1" t="s">
        <v>589</v>
      </c>
      <c r="BX106" s="1" t="s">
        <v>590</v>
      </c>
    </row>
    <row r="107" spans="2:76" x14ac:dyDescent="0.2">
      <c r="B107" s="1" t="s">
        <v>1545</v>
      </c>
      <c r="M107" s="1" t="s">
        <v>587</v>
      </c>
      <c r="X107" s="1" t="s">
        <v>656</v>
      </c>
      <c r="AJ107" s="1" t="s">
        <v>587</v>
      </c>
      <c r="AT107" s="1" t="s">
        <v>586</v>
      </c>
      <c r="BD107" s="1" t="s">
        <v>587</v>
      </c>
      <c r="BN107" s="1" t="s">
        <v>2140</v>
      </c>
      <c r="BX107" s="1" t="s">
        <v>587</v>
      </c>
    </row>
    <row r="108" spans="2:76" x14ac:dyDescent="0.2">
      <c r="B108" s="1" t="s">
        <v>1546</v>
      </c>
      <c r="M108" s="1" t="s">
        <v>591</v>
      </c>
      <c r="X108" s="1" t="s">
        <v>600</v>
      </c>
      <c r="AJ108" s="1" t="s">
        <v>591</v>
      </c>
      <c r="AT108" s="1" t="s">
        <v>587</v>
      </c>
      <c r="BD108" s="1" t="s">
        <v>591</v>
      </c>
      <c r="BN108" s="1" t="s">
        <v>586</v>
      </c>
      <c r="BX108" s="1" t="s">
        <v>591</v>
      </c>
    </row>
    <row r="109" spans="2:76" x14ac:dyDescent="0.2">
      <c r="B109" s="1" t="s">
        <v>1547</v>
      </c>
      <c r="M109" s="1" t="s">
        <v>586</v>
      </c>
      <c r="X109" s="1" t="s">
        <v>657</v>
      </c>
      <c r="AJ109" s="1" t="s">
        <v>586</v>
      </c>
      <c r="AT109" s="1" t="s">
        <v>2140</v>
      </c>
      <c r="BD109" s="1" t="s">
        <v>586</v>
      </c>
      <c r="BN109" s="1" t="s">
        <v>587</v>
      </c>
      <c r="BX109" s="1" t="s">
        <v>586</v>
      </c>
    </row>
    <row r="110" spans="2:76" x14ac:dyDescent="0.2">
      <c r="B110" s="1" t="s">
        <v>1548</v>
      </c>
      <c r="X110" s="1" t="s">
        <v>2143</v>
      </c>
    </row>
    <row r="111" spans="2:76" x14ac:dyDescent="0.2">
      <c r="B111" s="1" t="s">
        <v>1549</v>
      </c>
      <c r="M111" s="2" t="s">
        <v>655</v>
      </c>
      <c r="X111" s="1" t="s">
        <v>596</v>
      </c>
      <c r="AJ111" s="2" t="s">
        <v>2525</v>
      </c>
      <c r="AT111" s="2" t="s">
        <v>2684</v>
      </c>
      <c r="BD111" s="2" t="s">
        <v>2684</v>
      </c>
      <c r="BN111" s="2" t="s">
        <v>2910</v>
      </c>
      <c r="BX111" s="2" t="s">
        <v>2910</v>
      </c>
    </row>
    <row r="112" spans="2:76" x14ac:dyDescent="0.2">
      <c r="B112" s="1" t="s">
        <v>1550</v>
      </c>
      <c r="M112" s="1" t="s">
        <v>593</v>
      </c>
      <c r="AJ112" s="1" t="s">
        <v>593</v>
      </c>
      <c r="AT112" s="1" t="s">
        <v>597</v>
      </c>
      <c r="BD112" s="1" t="s">
        <v>593</v>
      </c>
      <c r="BN112" s="1" t="s">
        <v>600</v>
      </c>
      <c r="BX112" s="1" t="s">
        <v>593</v>
      </c>
    </row>
    <row r="113" spans="2:76" x14ac:dyDescent="0.2">
      <c r="B113" s="1" t="s">
        <v>1551</v>
      </c>
      <c r="M113" s="1" t="s">
        <v>596</v>
      </c>
      <c r="X113" s="1" t="s">
        <v>604</v>
      </c>
      <c r="AJ113" s="1" t="s">
        <v>596</v>
      </c>
      <c r="AT113" s="1" t="s">
        <v>657</v>
      </c>
      <c r="BD113" s="1" t="s">
        <v>596</v>
      </c>
      <c r="BN113" s="1" t="s">
        <v>2143</v>
      </c>
      <c r="BX113" s="1" t="s">
        <v>596</v>
      </c>
    </row>
    <row r="114" spans="2:76" x14ac:dyDescent="0.2">
      <c r="B114" s="1" t="s">
        <v>1552</v>
      </c>
      <c r="M114" s="1" t="s">
        <v>595</v>
      </c>
      <c r="X114" s="1" t="s">
        <v>2144</v>
      </c>
      <c r="AJ114" s="1" t="s">
        <v>595</v>
      </c>
      <c r="AT114" s="1" t="s">
        <v>599</v>
      </c>
      <c r="BD114" s="1" t="s">
        <v>595</v>
      </c>
      <c r="BN114" s="1" t="s">
        <v>2141</v>
      </c>
      <c r="BX114" s="1" t="s">
        <v>595</v>
      </c>
    </row>
    <row r="115" spans="2:76" x14ac:dyDescent="0.2">
      <c r="B115" s="1" t="s">
        <v>1553</v>
      </c>
      <c r="M115" s="1" t="s">
        <v>599</v>
      </c>
      <c r="X115" s="1" t="s">
        <v>608</v>
      </c>
      <c r="AJ115" s="1" t="s">
        <v>599</v>
      </c>
      <c r="AT115" s="1" t="s">
        <v>2141</v>
      </c>
      <c r="BD115" s="1" t="s">
        <v>599</v>
      </c>
      <c r="BN115" s="1" t="s">
        <v>596</v>
      </c>
      <c r="BX115" s="1" t="s">
        <v>599</v>
      </c>
    </row>
    <row r="116" spans="2:76" x14ac:dyDescent="0.2">
      <c r="B116" s="1" t="s">
        <v>1554</v>
      </c>
      <c r="M116" s="1" t="s">
        <v>1438</v>
      </c>
      <c r="X116" s="1" t="s">
        <v>606</v>
      </c>
      <c r="AJ116" s="1" t="s">
        <v>597</v>
      </c>
      <c r="AT116" s="1" t="s">
        <v>596</v>
      </c>
      <c r="BD116" s="1" t="s">
        <v>597</v>
      </c>
      <c r="BN116" s="1" t="s">
        <v>597</v>
      </c>
      <c r="BX116" s="1" t="s">
        <v>597</v>
      </c>
    </row>
    <row r="117" spans="2:76" x14ac:dyDescent="0.2">
      <c r="B117" s="1" t="s">
        <v>1555</v>
      </c>
      <c r="M117" s="1" t="s">
        <v>597</v>
      </c>
      <c r="X117" s="1" t="s">
        <v>659</v>
      </c>
      <c r="AJ117" s="1" t="s">
        <v>598</v>
      </c>
      <c r="AT117" s="1" t="s">
        <v>2142</v>
      </c>
      <c r="BD117" s="1" t="s">
        <v>598</v>
      </c>
      <c r="BN117" s="1" t="s">
        <v>598</v>
      </c>
      <c r="BX117" s="1" t="s">
        <v>598</v>
      </c>
    </row>
    <row r="118" spans="2:76" x14ac:dyDescent="0.2">
      <c r="B118" s="1" t="s">
        <v>1556</v>
      </c>
      <c r="M118" s="1" t="s">
        <v>598</v>
      </c>
      <c r="X118" s="1" t="s">
        <v>2145</v>
      </c>
      <c r="AJ118" s="1" t="s">
        <v>656</v>
      </c>
      <c r="AT118" s="1" t="s">
        <v>598</v>
      </c>
      <c r="BD118" s="1" t="s">
        <v>656</v>
      </c>
      <c r="BN118" s="1" t="s">
        <v>656</v>
      </c>
      <c r="BX118" s="1" t="s">
        <v>656</v>
      </c>
    </row>
    <row r="119" spans="2:76" x14ac:dyDescent="0.2">
      <c r="B119" s="1" t="s">
        <v>1557</v>
      </c>
      <c r="M119" s="1" t="s">
        <v>656</v>
      </c>
      <c r="X119" s="1" t="s">
        <v>2146</v>
      </c>
      <c r="AJ119" s="1" t="s">
        <v>600</v>
      </c>
      <c r="AT119" s="1" t="s">
        <v>656</v>
      </c>
      <c r="BD119" s="1" t="s">
        <v>600</v>
      </c>
      <c r="BN119" s="1" t="s">
        <v>657</v>
      </c>
      <c r="BX119" s="1" t="s">
        <v>600</v>
      </c>
    </row>
    <row r="120" spans="2:76" x14ac:dyDescent="0.2">
      <c r="B120" s="1" t="s">
        <v>1558</v>
      </c>
      <c r="M120" s="1" t="s">
        <v>600</v>
      </c>
      <c r="X120" s="1" t="s">
        <v>2147</v>
      </c>
      <c r="AJ120" s="1" t="s">
        <v>657</v>
      </c>
      <c r="AT120" s="1" t="s">
        <v>600</v>
      </c>
      <c r="BD120" s="1" t="s">
        <v>657</v>
      </c>
      <c r="BN120" s="1" t="s">
        <v>2142</v>
      </c>
      <c r="BX120" s="1" t="s">
        <v>657</v>
      </c>
    </row>
    <row r="121" spans="2:76" x14ac:dyDescent="0.2">
      <c r="B121" s="1" t="s">
        <v>1559</v>
      </c>
      <c r="M121" s="1" t="s">
        <v>657</v>
      </c>
      <c r="X121" s="1" t="s">
        <v>2148</v>
      </c>
      <c r="AJ121" s="1" t="s">
        <v>594</v>
      </c>
      <c r="AT121" s="1" t="s">
        <v>595</v>
      </c>
      <c r="BD121" s="1" t="s">
        <v>594</v>
      </c>
      <c r="BN121" s="1" t="s">
        <v>599</v>
      </c>
      <c r="BX121" s="1" t="s">
        <v>594</v>
      </c>
    </row>
    <row r="122" spans="2:76" x14ac:dyDescent="0.2">
      <c r="B122" s="1" t="s">
        <v>1560</v>
      </c>
      <c r="X122" s="1" t="s">
        <v>2149</v>
      </c>
    </row>
    <row r="123" spans="2:76" x14ac:dyDescent="0.2">
      <c r="B123" s="1" t="s">
        <v>1561</v>
      </c>
      <c r="M123" s="2" t="s">
        <v>658</v>
      </c>
      <c r="AJ123" s="2" t="s">
        <v>2526</v>
      </c>
      <c r="AT123" s="2" t="s">
        <v>2685</v>
      </c>
      <c r="BD123" s="2" t="s">
        <v>2685</v>
      </c>
      <c r="BN123" s="2" t="s">
        <v>2911</v>
      </c>
      <c r="BX123" s="2" t="s">
        <v>2911</v>
      </c>
    </row>
    <row r="124" spans="2:76" x14ac:dyDescent="0.2">
      <c r="M124" s="1" t="s">
        <v>607</v>
      </c>
      <c r="X124" s="1" t="s">
        <v>615</v>
      </c>
      <c r="AJ124" s="1" t="s">
        <v>603</v>
      </c>
      <c r="AT124" s="1" t="s">
        <v>604</v>
      </c>
      <c r="BD124" s="1" t="s">
        <v>603</v>
      </c>
      <c r="BN124" s="1" t="s">
        <v>2144</v>
      </c>
      <c r="BX124" s="1" t="s">
        <v>603</v>
      </c>
    </row>
    <row r="125" spans="2:76" x14ac:dyDescent="0.2">
      <c r="B125" s="1"/>
      <c r="M125" s="1" t="s">
        <v>604</v>
      </c>
      <c r="X125" s="1" t="s">
        <v>618</v>
      </c>
      <c r="AT125" s="1" t="s">
        <v>606</v>
      </c>
      <c r="BD125" s="1" t="s">
        <v>2153</v>
      </c>
      <c r="BN125" s="1" t="s">
        <v>608</v>
      </c>
      <c r="BX125" s="1" t="s">
        <v>2153</v>
      </c>
    </row>
    <row r="126" spans="2:76" x14ac:dyDescent="0.2">
      <c r="B126" s="1"/>
      <c r="M126" s="1" t="s">
        <v>602</v>
      </c>
      <c r="X126" s="1" t="s">
        <v>611</v>
      </c>
      <c r="AT126" s="1" t="s">
        <v>659</v>
      </c>
      <c r="BD126" s="1" t="s">
        <v>608</v>
      </c>
      <c r="BN126" s="1" t="s">
        <v>604</v>
      </c>
      <c r="BX126" s="1" t="s">
        <v>608</v>
      </c>
    </row>
    <row r="127" spans="2:76" x14ac:dyDescent="0.2">
      <c r="B127" s="1"/>
      <c r="M127" s="1" t="s">
        <v>659</v>
      </c>
      <c r="X127" s="1" t="s">
        <v>610</v>
      </c>
      <c r="AT127" s="1" t="s">
        <v>2144</v>
      </c>
      <c r="BD127" s="1" t="s">
        <v>601</v>
      </c>
      <c r="BN127" s="1" t="s">
        <v>606</v>
      </c>
      <c r="BX127" s="1" t="s">
        <v>601</v>
      </c>
    </row>
    <row r="128" spans="2:76" x14ac:dyDescent="0.2">
      <c r="B128" s="1"/>
      <c r="M128" s="1" t="s">
        <v>603</v>
      </c>
      <c r="X128" s="1" t="s">
        <v>616</v>
      </c>
      <c r="AT128" s="1" t="s">
        <v>608</v>
      </c>
      <c r="BD128" s="1" t="s">
        <v>609</v>
      </c>
      <c r="BN128" s="1" t="s">
        <v>659</v>
      </c>
      <c r="BX128" s="1" t="s">
        <v>609</v>
      </c>
    </row>
    <row r="129" spans="2:76" x14ac:dyDescent="0.2">
      <c r="B129" s="1"/>
      <c r="M129" s="1" t="s">
        <v>1439</v>
      </c>
      <c r="X129" s="1" t="s">
        <v>613</v>
      </c>
      <c r="AT129" s="1" t="s">
        <v>2686</v>
      </c>
      <c r="BD129" s="1" t="s">
        <v>607</v>
      </c>
      <c r="BN129" s="1" t="s">
        <v>2912</v>
      </c>
      <c r="BX129" s="1" t="s">
        <v>607</v>
      </c>
    </row>
    <row r="130" spans="2:76" x14ac:dyDescent="0.2">
      <c r="B130" s="1"/>
      <c r="M130" s="1" t="s">
        <v>606</v>
      </c>
      <c r="X130" s="1" t="s">
        <v>614</v>
      </c>
      <c r="AT130" s="1" t="s">
        <v>2687</v>
      </c>
      <c r="BD130" s="1" t="s">
        <v>604</v>
      </c>
      <c r="BN130" s="1" t="s">
        <v>2148</v>
      </c>
      <c r="BX130" s="1" t="s">
        <v>604</v>
      </c>
    </row>
    <row r="131" spans="2:76" x14ac:dyDescent="0.2">
      <c r="B131" s="1"/>
      <c r="M131" s="1" t="s">
        <v>605</v>
      </c>
      <c r="X131" s="1" t="s">
        <v>612</v>
      </c>
      <c r="AT131" s="1" t="s">
        <v>2688</v>
      </c>
      <c r="BD131" s="1" t="s">
        <v>606</v>
      </c>
      <c r="BN131" s="1" t="s">
        <v>2913</v>
      </c>
      <c r="BX131" s="1" t="s">
        <v>606</v>
      </c>
    </row>
    <row r="132" spans="2:76" x14ac:dyDescent="0.2">
      <c r="B132" s="1"/>
      <c r="M132" s="1" t="s">
        <v>609</v>
      </c>
      <c r="X132" s="1" t="s">
        <v>2512</v>
      </c>
      <c r="AT132" s="1" t="s">
        <v>2689</v>
      </c>
      <c r="BD132" s="1" t="s">
        <v>659</v>
      </c>
      <c r="BN132" s="1" t="s">
        <v>2149</v>
      </c>
      <c r="BX132" s="1" t="s">
        <v>659</v>
      </c>
    </row>
    <row r="133" spans="2:76" x14ac:dyDescent="0.2">
      <c r="B133" s="1"/>
      <c r="M133" s="1" t="s">
        <v>601</v>
      </c>
      <c r="X133" s="1" t="s">
        <v>2150</v>
      </c>
      <c r="AT133" s="1" t="s">
        <v>2690</v>
      </c>
      <c r="BD133" s="1" t="s">
        <v>602</v>
      </c>
      <c r="BN133" s="1" t="s">
        <v>609</v>
      </c>
      <c r="BX133" s="1" t="s">
        <v>602</v>
      </c>
    </row>
    <row r="134" spans="2:76" x14ac:dyDescent="0.2">
      <c r="B134" s="1"/>
      <c r="X134" s="1" t="s">
        <v>132</v>
      </c>
    </row>
    <row r="135" spans="2:76" x14ac:dyDescent="0.2">
      <c r="B135" s="1" t="s">
        <v>132</v>
      </c>
      <c r="M135" s="2" t="s">
        <v>660</v>
      </c>
      <c r="AT135" s="2" t="s">
        <v>2691</v>
      </c>
      <c r="BD135" s="2" t="s">
        <v>2691</v>
      </c>
      <c r="BN135" s="2" t="s">
        <v>2914</v>
      </c>
      <c r="BX135" s="1" t="s">
        <v>617</v>
      </c>
    </row>
    <row r="136" spans="2:76" x14ac:dyDescent="0.2">
      <c r="M136" s="1" t="s">
        <v>615</v>
      </c>
      <c r="AT136" s="1" t="s">
        <v>615</v>
      </c>
      <c r="BD136" s="1" t="s">
        <v>617</v>
      </c>
      <c r="BN136" s="1" t="s">
        <v>615</v>
      </c>
      <c r="BX136" s="1" t="s">
        <v>610</v>
      </c>
    </row>
    <row r="137" spans="2:76" x14ac:dyDescent="0.2">
      <c r="M137" s="1" t="s">
        <v>618</v>
      </c>
      <c r="AT137" s="1" t="s">
        <v>618</v>
      </c>
      <c r="BD137" s="1" t="s">
        <v>610</v>
      </c>
      <c r="BN137" s="1" t="s">
        <v>612</v>
      </c>
      <c r="BX137" s="1" t="s">
        <v>614</v>
      </c>
    </row>
    <row r="138" spans="2:76" x14ac:dyDescent="0.2">
      <c r="M138" s="1" t="s">
        <v>613</v>
      </c>
      <c r="AT138" s="1" t="s">
        <v>610</v>
      </c>
      <c r="BD138" s="1" t="s">
        <v>614</v>
      </c>
      <c r="BN138" s="1" t="s">
        <v>611</v>
      </c>
      <c r="BX138" s="1" t="s">
        <v>613</v>
      </c>
    </row>
    <row r="139" spans="2:76" x14ac:dyDescent="0.2">
      <c r="M139" s="1" t="s">
        <v>614</v>
      </c>
      <c r="AT139" s="1" t="s">
        <v>616</v>
      </c>
      <c r="BD139" s="1" t="s">
        <v>613</v>
      </c>
      <c r="BN139" s="1" t="s">
        <v>610</v>
      </c>
      <c r="BX139" s="1" t="s">
        <v>616</v>
      </c>
    </row>
    <row r="140" spans="2:76" x14ac:dyDescent="0.2">
      <c r="M140" s="1" t="s">
        <v>616</v>
      </c>
      <c r="AT140" s="1" t="s">
        <v>612</v>
      </c>
      <c r="BD140" s="1" t="s">
        <v>616</v>
      </c>
      <c r="BN140" s="1" t="s">
        <v>616</v>
      </c>
      <c r="BX140" s="1" t="s">
        <v>618</v>
      </c>
    </row>
    <row r="141" spans="2:76" x14ac:dyDescent="0.2">
      <c r="M141" s="1" t="s">
        <v>617</v>
      </c>
      <c r="AT141" s="1" t="s">
        <v>613</v>
      </c>
      <c r="BD141" s="1" t="s">
        <v>618</v>
      </c>
      <c r="BN141" s="1" t="s">
        <v>613</v>
      </c>
      <c r="BX141" s="1" t="s">
        <v>611</v>
      </c>
    </row>
    <row r="142" spans="2:76" x14ac:dyDescent="0.2">
      <c r="M142" s="1" t="s">
        <v>611</v>
      </c>
      <c r="AT142" s="1" t="s">
        <v>611</v>
      </c>
      <c r="BD142" s="1" t="s">
        <v>611</v>
      </c>
      <c r="BN142" s="1" t="s">
        <v>618</v>
      </c>
      <c r="BX142" s="1" t="s">
        <v>615</v>
      </c>
    </row>
    <row r="143" spans="2:76" x14ac:dyDescent="0.2">
      <c r="M143" s="1" t="s">
        <v>610</v>
      </c>
      <c r="AT143" s="1" t="s">
        <v>614</v>
      </c>
      <c r="BD143" s="1" t="s">
        <v>615</v>
      </c>
      <c r="BN143" s="1" t="s">
        <v>614</v>
      </c>
      <c r="BX143" s="1" t="s">
        <v>612</v>
      </c>
    </row>
    <row r="144" spans="2:76" x14ac:dyDescent="0.2">
      <c r="M144" s="1" t="s">
        <v>612</v>
      </c>
      <c r="AT144" s="1" t="s">
        <v>2692</v>
      </c>
      <c r="BD144" s="1" t="s">
        <v>612</v>
      </c>
      <c r="BN144" s="1" t="s">
        <v>2915</v>
      </c>
      <c r="BX144" s="1" t="s">
        <v>2694</v>
      </c>
    </row>
    <row r="145" spans="13:76" x14ac:dyDescent="0.2">
      <c r="M145" s="1" t="s">
        <v>619</v>
      </c>
      <c r="AT145" s="1" t="s">
        <v>619</v>
      </c>
      <c r="BD145" s="1" t="s">
        <v>2694</v>
      </c>
      <c r="BN145" s="1" t="s">
        <v>2916</v>
      </c>
      <c r="BX145" s="1" t="s">
        <v>132</v>
      </c>
    </row>
    <row r="146" spans="13:76" x14ac:dyDescent="0.2">
      <c r="M146" s="1" t="s">
        <v>132</v>
      </c>
      <c r="AT146" s="1" t="s">
        <v>132</v>
      </c>
      <c r="BD146" s="1" t="s">
        <v>132</v>
      </c>
      <c r="BN146" s="1" t="s">
        <v>132</v>
      </c>
    </row>
  </sheetData>
  <phoneticPr fontId="13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D42B-3199-9F43-A1DE-421AE15673D9}">
  <dimension ref="B1:CG147"/>
  <sheetViews>
    <sheetView topLeftCell="BV1" workbookViewId="0">
      <selection activeCell="CE22" sqref="CE16:CE22"/>
    </sheetView>
  </sheetViews>
  <sheetFormatPr baseColWidth="10" defaultRowHeight="16" x14ac:dyDescent="0.2"/>
  <cols>
    <col min="8" max="8" width="13.83203125" bestFit="1" customWidth="1"/>
    <col min="9" max="9" width="14.1640625" bestFit="1" customWidth="1"/>
    <col min="19" max="19" width="13.83203125" bestFit="1" customWidth="1"/>
    <col min="20" max="20" width="14.5" bestFit="1" customWidth="1"/>
    <col min="43" max="43" width="14.5" bestFit="1" customWidth="1"/>
  </cols>
  <sheetData>
    <row r="1" spans="2:85" x14ac:dyDescent="0.2">
      <c r="H1" t="s">
        <v>770</v>
      </c>
      <c r="I1" s="5">
        <v>0.03</v>
      </c>
      <c r="X1" s="20">
        <v>0.2</v>
      </c>
      <c r="AT1" s="20" t="s">
        <v>2648</v>
      </c>
      <c r="BN1" s="20" t="s">
        <v>2875</v>
      </c>
    </row>
    <row r="2" spans="2:85" x14ac:dyDescent="0.2">
      <c r="B2" s="1" t="s">
        <v>1904</v>
      </c>
      <c r="M2" s="1" t="s">
        <v>1682</v>
      </c>
      <c r="X2" s="1" t="s">
        <v>2540</v>
      </c>
      <c r="AF2" t="s">
        <v>798</v>
      </c>
      <c r="AG2" t="s">
        <v>661</v>
      </c>
      <c r="AH2" t="s">
        <v>180</v>
      </c>
      <c r="AJ2" s="1" t="s">
        <v>2513</v>
      </c>
      <c r="AT2" s="1" t="s">
        <v>2695</v>
      </c>
      <c r="BA2" t="s">
        <v>798</v>
      </c>
      <c r="BB2" t="s">
        <v>661</v>
      </c>
      <c r="BC2" t="s">
        <v>180</v>
      </c>
      <c r="BD2" s="1" t="s">
        <v>2720</v>
      </c>
      <c r="BK2" t="s">
        <v>798</v>
      </c>
      <c r="BL2" t="s">
        <v>661</v>
      </c>
      <c r="BM2" t="s">
        <v>180</v>
      </c>
      <c r="BN2" s="1" t="s">
        <v>2919</v>
      </c>
      <c r="BU2" t="s">
        <v>798</v>
      </c>
      <c r="BV2" t="s">
        <v>661</v>
      </c>
      <c r="BW2" t="s">
        <v>180</v>
      </c>
      <c r="BX2" s="1" t="s">
        <v>771</v>
      </c>
      <c r="CE2" t="s">
        <v>798</v>
      </c>
      <c r="CF2" t="s">
        <v>661</v>
      </c>
      <c r="CG2" t="s">
        <v>180</v>
      </c>
    </row>
    <row r="3" spans="2:85" x14ac:dyDescent="0.2">
      <c r="B3" s="1" t="s">
        <v>1562</v>
      </c>
      <c r="I3" t="s">
        <v>471</v>
      </c>
      <c r="J3" t="s">
        <v>661</v>
      </c>
      <c r="K3" t="s">
        <v>180</v>
      </c>
      <c r="M3" s="2" t="s">
        <v>1683</v>
      </c>
      <c r="T3" t="s">
        <v>798</v>
      </c>
      <c r="U3" t="s">
        <v>661</v>
      </c>
      <c r="V3" t="s">
        <v>180</v>
      </c>
      <c r="X3" s="2" t="s">
        <v>2527</v>
      </c>
      <c r="AG3">
        <v>100</v>
      </c>
      <c r="AJ3" s="2" t="s">
        <v>2527</v>
      </c>
      <c r="AQ3" t="s">
        <v>798</v>
      </c>
      <c r="AR3" t="s">
        <v>661</v>
      </c>
      <c r="AS3" t="s">
        <v>180</v>
      </c>
      <c r="AT3" s="2" t="s">
        <v>2696</v>
      </c>
      <c r="BB3">
        <v>100</v>
      </c>
      <c r="BD3" s="2" t="s">
        <v>2696</v>
      </c>
      <c r="BL3">
        <v>100</v>
      </c>
      <c r="BN3" s="2" t="s">
        <v>2920</v>
      </c>
      <c r="BV3">
        <v>100</v>
      </c>
      <c r="BX3" s="2" t="s">
        <v>2920</v>
      </c>
      <c r="CF3">
        <v>100</v>
      </c>
    </row>
    <row r="4" spans="2:85" x14ac:dyDescent="0.2">
      <c r="B4" s="1" t="s">
        <v>1563</v>
      </c>
      <c r="J4">
        <v>100</v>
      </c>
      <c r="M4" s="1" t="s">
        <v>1564</v>
      </c>
      <c r="U4">
        <v>100</v>
      </c>
      <c r="X4" s="1" t="s">
        <v>664</v>
      </c>
      <c r="AF4" s="19">
        <v>8.3999999999999995E-3</v>
      </c>
      <c r="AG4">
        <f>AG3*(AF4+1)</f>
        <v>100.84</v>
      </c>
      <c r="AH4" s="5">
        <f>AF8</f>
        <v>-2.1600000000000001E-2</v>
      </c>
      <c r="AJ4" s="1" t="s">
        <v>664</v>
      </c>
      <c r="AR4">
        <v>100</v>
      </c>
      <c r="AT4" s="1" t="s">
        <v>670</v>
      </c>
      <c r="BA4" s="19">
        <v>8.3999999999999995E-3</v>
      </c>
      <c r="BB4">
        <f>BB3*(BA4+1)</f>
        <v>100.84</v>
      </c>
      <c r="BC4" s="5">
        <f>BA12</f>
        <v>-1.1999999999999999E-3</v>
      </c>
      <c r="BD4" s="1" t="s">
        <v>664</v>
      </c>
      <c r="BK4" s="19">
        <v>6.1000000000000004E-3</v>
      </c>
      <c r="BL4">
        <f>BL3*(BK4+1)</f>
        <v>100.61</v>
      </c>
      <c r="BM4" s="5"/>
      <c r="BN4" s="1" t="s">
        <v>668</v>
      </c>
      <c r="BU4" s="19">
        <v>8.3999999999999995E-3</v>
      </c>
      <c r="BV4">
        <f>BV3*(BU4+1)</f>
        <v>100.84</v>
      </c>
      <c r="BW4" s="5"/>
      <c r="BX4" s="1" t="s">
        <v>664</v>
      </c>
      <c r="CE4" s="19">
        <v>6.1000000000000004E-3</v>
      </c>
      <c r="CF4">
        <f>CF3*(CE4+1)</f>
        <v>100.61</v>
      </c>
      <c r="CG4" s="5"/>
    </row>
    <row r="5" spans="2:85" x14ac:dyDescent="0.2">
      <c r="B5" s="1" t="s">
        <v>1564</v>
      </c>
      <c r="I5" s="19">
        <v>9.2999999999999992E-3</v>
      </c>
      <c r="J5">
        <f>J4*(1+I5)</f>
        <v>100.93</v>
      </c>
      <c r="K5" s="5">
        <f>I7</f>
        <v>8.0999999999999996E-3</v>
      </c>
      <c r="M5" s="1" t="s">
        <v>1684</v>
      </c>
      <c r="T5" s="19">
        <v>6.1000000000000004E-3</v>
      </c>
      <c r="U5">
        <f>U4*(T5+1)</f>
        <v>100.61</v>
      </c>
      <c r="V5" s="5">
        <f>T10</f>
        <v>-3.2000000000000002E-3</v>
      </c>
      <c r="X5" s="1" t="s">
        <v>666</v>
      </c>
      <c r="AF5" s="19">
        <v>1.01E-2</v>
      </c>
      <c r="AG5">
        <f t="shared" ref="AG5:AG15" si="0">AG4*(AF5+1)</f>
        <v>101.858484</v>
      </c>
      <c r="AH5" s="5">
        <f>AF10</f>
        <v>-1.61E-2</v>
      </c>
      <c r="AJ5" s="1" t="s">
        <v>772</v>
      </c>
      <c r="AQ5" s="19">
        <v>6.1000000000000004E-3</v>
      </c>
      <c r="AR5">
        <f>AR4*(AQ5+1)</f>
        <v>100.61</v>
      </c>
      <c r="AS5" s="5">
        <f>AQ8</f>
        <v>-5.1000000000000004E-3</v>
      </c>
      <c r="AT5" s="1" t="s">
        <v>668</v>
      </c>
      <c r="BA5" s="19">
        <v>1.1299999999999999E-2</v>
      </c>
      <c r="BB5">
        <f t="shared" ref="BB5:BB15" si="1">BB4*(BA5+1)</f>
        <v>101.97949200000001</v>
      </c>
      <c r="BC5" s="5">
        <f>BA8</f>
        <v>-2.1600000000000001E-2</v>
      </c>
      <c r="BD5" s="1" t="s">
        <v>772</v>
      </c>
      <c r="BK5" s="19">
        <v>3.3E-3</v>
      </c>
      <c r="BL5">
        <f t="shared" ref="BL5:BL15" si="2">BL4*(BK5+1)</f>
        <v>100.942013</v>
      </c>
      <c r="BM5" s="5">
        <f>BK8</f>
        <v>-6.9999999999999999E-4</v>
      </c>
      <c r="BN5" s="1" t="s">
        <v>663</v>
      </c>
      <c r="BU5" s="19">
        <v>1.04E-2</v>
      </c>
      <c r="BV5">
        <f t="shared" ref="BV5:BV15" si="3">BV4*(BU5+1)</f>
        <v>101.88873599999999</v>
      </c>
      <c r="BW5" s="5">
        <f>BU8</f>
        <v>-2.0400000000000001E-2</v>
      </c>
      <c r="BX5" s="1" t="s">
        <v>772</v>
      </c>
      <c r="CE5" s="19">
        <v>3.3E-3</v>
      </c>
      <c r="CF5">
        <f t="shared" ref="CF5:CF15" si="4">CF4*(CE5+1)</f>
        <v>100.942013</v>
      </c>
      <c r="CG5" s="5">
        <f>CE8</f>
        <v>-1E-4</v>
      </c>
    </row>
    <row r="6" spans="2:85" x14ac:dyDescent="0.2">
      <c r="B6" s="1" t="s">
        <v>1565</v>
      </c>
      <c r="I6" s="19">
        <v>1.29E-2</v>
      </c>
      <c r="J6">
        <f t="shared" ref="J6:J16" si="5">J5*(1+I6)</f>
        <v>102.23199699999999</v>
      </c>
      <c r="K6" s="5">
        <f>I9</f>
        <v>-2.0000000000000001E-4</v>
      </c>
      <c r="M6" s="1" t="s">
        <v>1566</v>
      </c>
      <c r="T6" s="19">
        <v>1.14E-2</v>
      </c>
      <c r="U6">
        <f t="shared" ref="U6:U16" si="6">U5*(T6+1)</f>
        <v>101.75695400000001</v>
      </c>
      <c r="V6" s="5">
        <f>T11</f>
        <v>-9.7999999999999997E-3</v>
      </c>
      <c r="X6" s="1" t="s">
        <v>772</v>
      </c>
      <c r="AF6" s="19">
        <v>1.06E-2</v>
      </c>
      <c r="AG6">
        <f t="shared" si="0"/>
        <v>102.9381839304</v>
      </c>
      <c r="AH6" s="5">
        <f>AF7</f>
        <v>-6.9999999999999999E-4</v>
      </c>
      <c r="AJ6" s="1" t="s">
        <v>666</v>
      </c>
      <c r="AQ6" s="19">
        <v>3.3E-3</v>
      </c>
      <c r="AR6">
        <f t="shared" ref="AR6:AR16" si="7">AR5*(AQ6+1)</f>
        <v>100.942013</v>
      </c>
      <c r="AS6" s="5">
        <f>AQ9</f>
        <v>-6.9999999999999999E-4</v>
      </c>
      <c r="AT6" s="1" t="s">
        <v>772</v>
      </c>
      <c r="BA6" s="19">
        <v>1.0200000000000001E-2</v>
      </c>
      <c r="BB6">
        <f t="shared" si="1"/>
        <v>103.0196828184</v>
      </c>
      <c r="BC6" s="5">
        <f>BA10</f>
        <v>-2.1399999999999999E-2</v>
      </c>
      <c r="BD6" s="1" t="s">
        <v>666</v>
      </c>
      <c r="BK6" s="19">
        <v>7.3000000000000001E-3</v>
      </c>
      <c r="BL6">
        <f t="shared" si="2"/>
        <v>101.67888969490001</v>
      </c>
      <c r="BM6" s="5">
        <f>BK10</f>
        <v>-6.6E-3</v>
      </c>
      <c r="BN6" s="1" t="s">
        <v>666</v>
      </c>
      <c r="BU6" s="19">
        <v>1.2E-2</v>
      </c>
      <c r="BV6">
        <f t="shared" si="3"/>
        <v>103.111400832</v>
      </c>
      <c r="BW6" s="5">
        <f>BU10</f>
        <v>-1.9E-2</v>
      </c>
      <c r="BX6" s="1" t="s">
        <v>666</v>
      </c>
      <c r="CE6" s="19">
        <v>7.3000000000000001E-3</v>
      </c>
      <c r="CF6">
        <f t="shared" si="4"/>
        <v>101.67888969490001</v>
      </c>
      <c r="CG6" s="5">
        <f>CE10</f>
        <v>-6.6E-3</v>
      </c>
    </row>
    <row r="7" spans="2:85" x14ac:dyDescent="0.2">
      <c r="B7" s="1" t="s">
        <v>1566</v>
      </c>
      <c r="I7" s="19">
        <v>8.0999999999999996E-3</v>
      </c>
      <c r="J7">
        <f t="shared" si="5"/>
        <v>103.06007617569999</v>
      </c>
      <c r="K7" s="5">
        <f>I11</f>
        <v>-1.4E-2</v>
      </c>
      <c r="M7" s="1" t="s">
        <v>1569</v>
      </c>
      <c r="T7" s="19">
        <v>8.8000000000000005E-3</v>
      </c>
      <c r="U7">
        <f t="shared" si="6"/>
        <v>102.65241519519999</v>
      </c>
      <c r="V7" s="5">
        <f>T16</f>
        <v>-4.3400000000000001E-2</v>
      </c>
      <c r="X7" s="1" t="s">
        <v>669</v>
      </c>
      <c r="AF7" s="19">
        <v>-6.9999999999999999E-4</v>
      </c>
      <c r="AG7">
        <f t="shared" si="0"/>
        <v>102.86612720164872</v>
      </c>
      <c r="AH7" s="5">
        <f>AF15</f>
        <v>-8.6E-3</v>
      </c>
      <c r="AJ7" s="1" t="s">
        <v>669</v>
      </c>
      <c r="AQ7" s="19">
        <v>7.3000000000000001E-3</v>
      </c>
      <c r="AR7">
        <f t="shared" si="7"/>
        <v>101.67888969490001</v>
      </c>
      <c r="AS7" s="5">
        <f>AQ11</f>
        <v>-6.6E-3</v>
      </c>
      <c r="AT7" s="1" t="s">
        <v>662</v>
      </c>
      <c r="BA7" s="19">
        <v>8.0000000000000004E-4</v>
      </c>
      <c r="BB7">
        <f t="shared" si="1"/>
        <v>103.10209856465471</v>
      </c>
      <c r="BC7" s="5">
        <f>BA9</f>
        <v>-4.0000000000000001E-3</v>
      </c>
      <c r="BD7" s="1" t="s">
        <v>669</v>
      </c>
      <c r="BK7" s="19">
        <v>-5.1000000000000004E-3</v>
      </c>
      <c r="BL7">
        <f t="shared" si="2"/>
        <v>101.16032735745601</v>
      </c>
      <c r="BM7" s="5">
        <f>BK7</f>
        <v>-5.1000000000000004E-3</v>
      </c>
      <c r="BN7" s="1" t="s">
        <v>664</v>
      </c>
      <c r="BU7" s="19">
        <v>-8.0000000000000004E-4</v>
      </c>
      <c r="BV7">
        <f t="shared" si="3"/>
        <v>103.0289117113344</v>
      </c>
      <c r="BW7" s="5">
        <f>BU7</f>
        <v>-8.0000000000000004E-4</v>
      </c>
      <c r="BX7" s="1" t="s">
        <v>669</v>
      </c>
      <c r="CE7" s="19">
        <v>-5.1000000000000004E-3</v>
      </c>
      <c r="CF7">
        <f t="shared" si="4"/>
        <v>101.16032735745601</v>
      </c>
      <c r="CG7" s="5">
        <f>CE7</f>
        <v>-5.1000000000000004E-3</v>
      </c>
    </row>
    <row r="8" spans="2:85" x14ac:dyDescent="0.2">
      <c r="B8" s="1" t="s">
        <v>1567</v>
      </c>
      <c r="I8" s="19">
        <v>2.9999999999999997E-4</v>
      </c>
      <c r="J8">
        <f t="shared" si="5"/>
        <v>103.09099419855269</v>
      </c>
      <c r="K8" s="5">
        <f>I12</f>
        <v>-1.2800000000000001E-2</v>
      </c>
      <c r="M8" s="1" t="s">
        <v>1567</v>
      </c>
      <c r="T8" s="19">
        <v>-7.3000000000000001E-3</v>
      </c>
      <c r="U8">
        <f t="shared" si="6"/>
        <v>101.90305256427503</v>
      </c>
      <c r="X8" s="1" t="s">
        <v>667</v>
      </c>
      <c r="AF8" s="19">
        <v>-2.1600000000000001E-2</v>
      </c>
      <c r="AG8">
        <f t="shared" si="0"/>
        <v>100.64421885409311</v>
      </c>
      <c r="AJ8" s="1" t="s">
        <v>667</v>
      </c>
      <c r="AQ8" s="19">
        <v>-5.1000000000000004E-3</v>
      </c>
      <c r="AR8">
        <f t="shared" si="7"/>
        <v>101.16032735745601</v>
      </c>
      <c r="AS8" s="5">
        <f>AQ12</f>
        <v>-1.83E-2</v>
      </c>
      <c r="AT8" s="1" t="s">
        <v>664</v>
      </c>
      <c r="BA8" s="19">
        <v>-2.1600000000000001E-2</v>
      </c>
      <c r="BB8">
        <f t="shared" si="1"/>
        <v>100.87509323565817</v>
      </c>
      <c r="BC8" s="5">
        <f>BA15</f>
        <v>-1.21E-2</v>
      </c>
      <c r="BD8" s="1" t="s">
        <v>667</v>
      </c>
      <c r="BK8" s="19">
        <v>-6.9999999999999999E-4</v>
      </c>
      <c r="BL8">
        <f t="shared" si="2"/>
        <v>101.08951512830579</v>
      </c>
      <c r="BM8" s="5">
        <f>BK15</f>
        <v>-2.1399999999999999E-2</v>
      </c>
      <c r="BN8" s="1" t="s">
        <v>662</v>
      </c>
      <c r="BU8" s="19">
        <v>-2.0400000000000001E-2</v>
      </c>
      <c r="BV8">
        <f t="shared" si="3"/>
        <v>100.92712191242319</v>
      </c>
      <c r="BW8" s="5">
        <f>BU15</f>
        <v>-9.7000000000000003E-3</v>
      </c>
      <c r="BX8" s="1" t="s">
        <v>667</v>
      </c>
      <c r="CE8" s="19">
        <v>-1E-4</v>
      </c>
      <c r="CF8">
        <f t="shared" si="4"/>
        <v>101.15021132472027</v>
      </c>
      <c r="CG8" s="5">
        <f>CE15</f>
        <v>-2.1399999999999999E-2</v>
      </c>
    </row>
    <row r="9" spans="2:85" x14ac:dyDescent="0.2">
      <c r="B9" s="1" t="s">
        <v>1568</v>
      </c>
      <c r="I9" s="19">
        <v>-2.0000000000000001E-4</v>
      </c>
      <c r="J9">
        <f t="shared" si="5"/>
        <v>103.07037599971298</v>
      </c>
      <c r="K9" s="5">
        <f>I16</f>
        <v>-2.5000000000000001E-2</v>
      </c>
      <c r="M9" s="1" t="s">
        <v>1568</v>
      </c>
      <c r="T9" s="19">
        <v>8.5000000000000006E-3</v>
      </c>
      <c r="U9">
        <f t="shared" si="6"/>
        <v>102.76922851107136</v>
      </c>
      <c r="X9" s="1" t="s">
        <v>668</v>
      </c>
      <c r="AF9" s="19">
        <v>-4.3E-3</v>
      </c>
      <c r="AG9">
        <f t="shared" si="0"/>
        <v>100.21144871302052</v>
      </c>
      <c r="AJ9" s="1" t="s">
        <v>668</v>
      </c>
      <c r="AQ9" s="19">
        <v>-6.9999999999999999E-4</v>
      </c>
      <c r="AR9">
        <f t="shared" si="7"/>
        <v>101.08951512830579</v>
      </c>
      <c r="AS9" s="5">
        <f>AQ16</f>
        <v>-2.1399999999999999E-2</v>
      </c>
      <c r="AT9" s="1" t="s">
        <v>663</v>
      </c>
      <c r="BA9" s="19">
        <v>-4.0000000000000001E-3</v>
      </c>
      <c r="BB9">
        <f t="shared" si="1"/>
        <v>100.47159286271554</v>
      </c>
      <c r="BD9" s="1" t="s">
        <v>668</v>
      </c>
      <c r="BK9" s="19">
        <v>5.4000000000000003E-3</v>
      </c>
      <c r="BL9">
        <f t="shared" si="2"/>
        <v>101.63539850999865</v>
      </c>
      <c r="BM9" s="5">
        <f>BK11</f>
        <v>-1.83E-2</v>
      </c>
      <c r="BN9" s="1" t="s">
        <v>772</v>
      </c>
      <c r="BU9" s="19">
        <v>-2E-3</v>
      </c>
      <c r="BV9">
        <f t="shared" si="3"/>
        <v>100.72526766859835</v>
      </c>
      <c r="BW9" s="5">
        <f>BU12</f>
        <v>-5.4999999999999997E-3</v>
      </c>
      <c r="BX9" s="1" t="s">
        <v>668</v>
      </c>
      <c r="CE9" s="19">
        <v>5.4000000000000003E-3</v>
      </c>
      <c r="CF9">
        <f t="shared" si="4"/>
        <v>101.69642246587377</v>
      </c>
      <c r="CG9" s="5">
        <f>CE11</f>
        <v>-1.83E-2</v>
      </c>
    </row>
    <row r="10" spans="2:85" x14ac:dyDescent="0.2">
      <c r="B10" s="1" t="s">
        <v>1569</v>
      </c>
      <c r="I10" s="19">
        <v>5.4000000000000003E-3</v>
      </c>
      <c r="J10">
        <f t="shared" si="5"/>
        <v>103.62695603011144</v>
      </c>
      <c r="M10" s="1" t="s">
        <v>1563</v>
      </c>
      <c r="T10" s="19">
        <v>-3.2000000000000002E-3</v>
      </c>
      <c r="U10">
        <f t="shared" si="6"/>
        <v>102.44036697983593</v>
      </c>
      <c r="X10" s="1" t="s">
        <v>663</v>
      </c>
      <c r="AF10" s="19">
        <v>-1.61E-2</v>
      </c>
      <c r="AG10">
        <f t="shared" si="0"/>
        <v>98.598044388740888</v>
      </c>
      <c r="AJ10" s="1" t="s">
        <v>663</v>
      </c>
      <c r="AQ10" s="19">
        <v>5.4000000000000003E-3</v>
      </c>
      <c r="AR10">
        <f t="shared" si="7"/>
        <v>101.63539850999865</v>
      </c>
      <c r="AT10" s="1" t="s">
        <v>665</v>
      </c>
      <c r="BA10" s="19">
        <v>-2.1399999999999999E-2</v>
      </c>
      <c r="BB10">
        <f t="shared" si="1"/>
        <v>98.32150077545343</v>
      </c>
      <c r="BD10" s="1" t="s">
        <v>663</v>
      </c>
      <c r="BK10" s="19">
        <v>-6.6E-3</v>
      </c>
      <c r="BL10">
        <f t="shared" si="2"/>
        <v>100.96460487983265</v>
      </c>
      <c r="BN10" s="1" t="s">
        <v>670</v>
      </c>
      <c r="BU10" s="19">
        <v>-1.9E-2</v>
      </c>
      <c r="BV10">
        <f t="shared" si="3"/>
        <v>98.811487582894983</v>
      </c>
      <c r="BX10" s="1" t="s">
        <v>663</v>
      </c>
      <c r="CE10" s="19">
        <v>-6.6E-3</v>
      </c>
      <c r="CF10">
        <f t="shared" si="4"/>
        <v>101.025226077599</v>
      </c>
    </row>
    <row r="11" spans="2:85" x14ac:dyDescent="0.2">
      <c r="B11" s="1" t="s">
        <v>1570</v>
      </c>
      <c r="I11" s="19">
        <v>-1.4E-2</v>
      </c>
      <c r="J11">
        <f t="shared" si="5"/>
        <v>102.17617864568989</v>
      </c>
      <c r="M11" s="1" t="s">
        <v>1565</v>
      </c>
      <c r="T11" s="19">
        <v>-9.7999999999999997E-3</v>
      </c>
      <c r="U11">
        <f t="shared" si="6"/>
        <v>101.43645138343354</v>
      </c>
      <c r="X11" s="1" t="s">
        <v>665</v>
      </c>
      <c r="AF11" s="19">
        <v>2.4199999999999999E-2</v>
      </c>
      <c r="AG11">
        <f t="shared" si="0"/>
        <v>100.98411706294841</v>
      </c>
      <c r="AJ11" s="1" t="s">
        <v>665</v>
      </c>
      <c r="AQ11" s="19">
        <v>-6.6E-3</v>
      </c>
      <c r="AR11">
        <f t="shared" si="7"/>
        <v>100.96460487983265</v>
      </c>
      <c r="AT11" s="1" t="s">
        <v>667</v>
      </c>
      <c r="BA11" s="19">
        <v>1.9E-2</v>
      </c>
      <c r="BB11">
        <f t="shared" si="1"/>
        <v>100.18960929018704</v>
      </c>
      <c r="BD11" s="1" t="s">
        <v>665</v>
      </c>
      <c r="BK11" s="19">
        <v>-1.83E-2</v>
      </c>
      <c r="BL11">
        <f t="shared" si="2"/>
        <v>99.116952610531712</v>
      </c>
      <c r="BN11" s="1" t="s">
        <v>669</v>
      </c>
      <c r="BU11" s="19">
        <v>2.12E-2</v>
      </c>
      <c r="BV11">
        <f t="shared" si="3"/>
        <v>100.90629111965237</v>
      </c>
      <c r="BX11" s="1" t="s">
        <v>665</v>
      </c>
      <c r="CE11" s="19">
        <v>-1.83E-2</v>
      </c>
      <c r="CF11">
        <f t="shared" si="4"/>
        <v>99.176464440378936</v>
      </c>
    </row>
    <row r="12" spans="2:85" x14ac:dyDescent="0.2">
      <c r="B12" s="1" t="s">
        <v>1571</v>
      </c>
      <c r="I12" s="19">
        <v>-1.2800000000000001E-2</v>
      </c>
      <c r="J12">
        <f t="shared" si="5"/>
        <v>100.86832355902506</v>
      </c>
      <c r="M12" s="1" t="s">
        <v>1562</v>
      </c>
      <c r="T12" s="19">
        <v>3.2000000000000002E-3</v>
      </c>
      <c r="U12">
        <f t="shared" si="6"/>
        <v>101.76104802786053</v>
      </c>
      <c r="X12" s="1" t="s">
        <v>662</v>
      </c>
      <c r="AF12" s="19">
        <v>6.0000000000000001E-3</v>
      </c>
      <c r="AG12">
        <f t="shared" si="0"/>
        <v>101.5900217653261</v>
      </c>
      <c r="AJ12" s="1" t="s">
        <v>662</v>
      </c>
      <c r="AQ12" s="19">
        <v>-1.83E-2</v>
      </c>
      <c r="AR12">
        <f t="shared" si="7"/>
        <v>99.116952610531712</v>
      </c>
      <c r="AT12" s="1" t="s">
        <v>669</v>
      </c>
      <c r="BA12" s="19">
        <v>-1.1999999999999999E-3</v>
      </c>
      <c r="BB12">
        <f t="shared" si="1"/>
        <v>100.06938175903882</v>
      </c>
      <c r="BD12" s="1" t="s">
        <v>662</v>
      </c>
      <c r="BK12" s="19">
        <v>1.17E-2</v>
      </c>
      <c r="BL12">
        <f t="shared" si="2"/>
        <v>100.27662095607494</v>
      </c>
      <c r="BN12" s="1" t="s">
        <v>667</v>
      </c>
      <c r="BU12" s="19">
        <v>-5.4999999999999997E-3</v>
      </c>
      <c r="BV12">
        <f t="shared" si="3"/>
        <v>100.35130651849428</v>
      </c>
      <c r="BX12" s="1" t="s">
        <v>662</v>
      </c>
      <c r="CE12" s="19">
        <v>8.3000000000000001E-3</v>
      </c>
      <c r="CF12">
        <f t="shared" si="4"/>
        <v>99.999629095234084</v>
      </c>
    </row>
    <row r="13" spans="2:85" x14ac:dyDescent="0.2">
      <c r="B13" s="1" t="s">
        <v>1572</v>
      </c>
      <c r="I13" s="19">
        <v>0.01</v>
      </c>
      <c r="J13">
        <f t="shared" si="5"/>
        <v>101.87700679461531</v>
      </c>
      <c r="M13" s="1" t="s">
        <v>1571</v>
      </c>
      <c r="T13" s="19">
        <v>0.01</v>
      </c>
      <c r="U13">
        <f t="shared" si="6"/>
        <v>102.77865850813913</v>
      </c>
      <c r="X13" s="1" t="s">
        <v>670</v>
      </c>
      <c r="AF13" s="19">
        <v>2.7000000000000001E-3</v>
      </c>
      <c r="AG13">
        <f t="shared" si="0"/>
        <v>101.86431482409247</v>
      </c>
      <c r="AJ13" s="1" t="s">
        <v>671</v>
      </c>
      <c r="AQ13" s="19">
        <v>8.3000000000000001E-3</v>
      </c>
      <c r="AR13">
        <f t="shared" si="7"/>
        <v>99.939623317199121</v>
      </c>
      <c r="AT13" s="1" t="s">
        <v>666</v>
      </c>
      <c r="BA13" s="19">
        <v>2.7000000000000001E-3</v>
      </c>
      <c r="BB13">
        <f t="shared" si="1"/>
        <v>100.33956908978821</v>
      </c>
      <c r="BD13" s="1" t="s">
        <v>671</v>
      </c>
      <c r="BK13" s="19">
        <v>2.2000000000000001E-3</v>
      </c>
      <c r="BL13">
        <f t="shared" si="2"/>
        <v>100.4972295221783</v>
      </c>
      <c r="BN13" s="1" t="s">
        <v>665</v>
      </c>
      <c r="BU13" s="19">
        <v>2.7000000000000001E-3</v>
      </c>
      <c r="BV13">
        <f t="shared" si="3"/>
        <v>100.62225504609421</v>
      </c>
      <c r="BX13" s="1" t="s">
        <v>671</v>
      </c>
      <c r="CE13" s="19">
        <v>2.2000000000000001E-3</v>
      </c>
      <c r="CF13">
        <f t="shared" si="4"/>
        <v>100.21962827924359</v>
      </c>
    </row>
    <row r="14" spans="2:85" x14ac:dyDescent="0.2">
      <c r="B14" s="1" t="s">
        <v>1573</v>
      </c>
      <c r="I14" s="19">
        <v>-1.6000000000000001E-3</v>
      </c>
      <c r="J14">
        <f t="shared" si="5"/>
        <v>101.71400358374392</v>
      </c>
      <c r="M14" s="2" t="s">
        <v>1685</v>
      </c>
      <c r="T14" s="19">
        <v>7.0000000000000001E-3</v>
      </c>
      <c r="U14">
        <f t="shared" si="6"/>
        <v>103.49810911769609</v>
      </c>
      <c r="AF14" s="19">
        <v>2.58E-2</v>
      </c>
      <c r="AG14">
        <f t="shared" si="0"/>
        <v>104.49241414655407</v>
      </c>
      <c r="AQ14" s="19">
        <v>2.2000000000000001E-3</v>
      </c>
      <c r="AR14">
        <f t="shared" si="7"/>
        <v>100.15949048849696</v>
      </c>
      <c r="BA14" s="19">
        <v>2.8400000000000002E-2</v>
      </c>
      <c r="BB14">
        <f t="shared" si="1"/>
        <v>103.18921285193819</v>
      </c>
      <c r="BK14" s="19">
        <v>1.4800000000000001E-2</v>
      </c>
      <c r="BL14">
        <f t="shared" si="2"/>
        <v>101.98458851910654</v>
      </c>
      <c r="BU14" s="19">
        <v>3.0800000000000001E-2</v>
      </c>
      <c r="BV14">
        <f t="shared" si="3"/>
        <v>103.7214205015139</v>
      </c>
      <c r="CE14" s="19">
        <v>1.4800000000000001E-2</v>
      </c>
      <c r="CF14">
        <f t="shared" si="4"/>
        <v>101.70287877777639</v>
      </c>
    </row>
    <row r="15" spans="2:85" x14ac:dyDescent="0.2">
      <c r="B15" s="1" t="s">
        <v>1574</v>
      </c>
      <c r="I15" s="19">
        <v>3.5700000000000003E-2</v>
      </c>
      <c r="J15">
        <f t="shared" si="5"/>
        <v>105.34519351168358</v>
      </c>
      <c r="M15" s="1" t="s">
        <v>1577</v>
      </c>
      <c r="T15" s="19">
        <v>3.0200000000000001E-2</v>
      </c>
      <c r="U15">
        <f t="shared" si="6"/>
        <v>106.62375201305051</v>
      </c>
      <c r="X15" s="2" t="s">
        <v>2528</v>
      </c>
      <c r="AF15" s="19">
        <v>-8.6E-3</v>
      </c>
      <c r="AG15">
        <f t="shared" si="0"/>
        <v>103.59377938489369</v>
      </c>
      <c r="AJ15" s="2" t="s">
        <v>2528</v>
      </c>
      <c r="AQ15" s="19">
        <v>1.4800000000000001E-2</v>
      </c>
      <c r="AR15">
        <f t="shared" si="7"/>
        <v>101.64185094772671</v>
      </c>
      <c r="AT15" s="2" t="s">
        <v>2697</v>
      </c>
      <c r="BA15" s="19">
        <v>-1.21E-2</v>
      </c>
      <c r="BB15">
        <f t="shared" si="1"/>
        <v>101.94062337642974</v>
      </c>
      <c r="BD15" s="2" t="s">
        <v>2697</v>
      </c>
      <c r="BK15" s="19">
        <v>-2.1399999999999999E-2</v>
      </c>
      <c r="BL15">
        <f t="shared" si="2"/>
        <v>99.802118324797661</v>
      </c>
      <c r="BN15" s="2" t="s">
        <v>2921</v>
      </c>
      <c r="BU15" s="19">
        <v>-9.7000000000000003E-3</v>
      </c>
      <c r="BV15">
        <f t="shared" si="3"/>
        <v>102.71532272264922</v>
      </c>
      <c r="BX15" s="2" t="s">
        <v>2921</v>
      </c>
      <c r="CE15" s="19">
        <v>-2.1399999999999999E-2</v>
      </c>
      <c r="CF15">
        <f t="shared" si="4"/>
        <v>99.526437171931974</v>
      </c>
    </row>
    <row r="16" spans="2:85" x14ac:dyDescent="0.2">
      <c r="B16" s="1" t="s">
        <v>1575</v>
      </c>
      <c r="I16" s="19">
        <v>-2.5000000000000001E-2</v>
      </c>
      <c r="J16">
        <f t="shared" si="5"/>
        <v>102.71156367389149</v>
      </c>
      <c r="M16" s="1" t="s">
        <v>1686</v>
      </c>
      <c r="T16" s="19">
        <v>-4.3400000000000001E-2</v>
      </c>
      <c r="U16">
        <f t="shared" si="6"/>
        <v>101.99628117568412</v>
      </c>
      <c r="X16" s="1" t="s">
        <v>675</v>
      </c>
      <c r="AE16" s="6" t="s">
        <v>173</v>
      </c>
      <c r="AF16" s="5">
        <f>AG15/100 - 1</f>
        <v>3.5937793848936916E-2</v>
      </c>
      <c r="AJ16" s="1" t="s">
        <v>2183</v>
      </c>
      <c r="AQ16" s="19">
        <v>-2.1399999999999999E-2</v>
      </c>
      <c r="AR16">
        <f t="shared" si="7"/>
        <v>99.466715337445365</v>
      </c>
      <c r="AT16" s="1" t="s">
        <v>675</v>
      </c>
      <c r="AZ16" s="6" t="s">
        <v>173</v>
      </c>
      <c r="BA16" s="5">
        <f>BB15/100 - 1</f>
        <v>1.9406233764297509E-2</v>
      </c>
      <c r="BD16" s="1" t="s">
        <v>2183</v>
      </c>
      <c r="BJ16" s="6" t="s">
        <v>173</v>
      </c>
      <c r="BK16" s="5">
        <f>BL15/100 - 1</f>
        <v>-1.9788167520233824E-3</v>
      </c>
      <c r="BN16" s="1" t="s">
        <v>675</v>
      </c>
      <c r="BT16" s="6" t="s">
        <v>173</v>
      </c>
      <c r="BU16" s="5">
        <f>BV15/100 - 1</f>
        <v>2.7153227226492271E-2</v>
      </c>
      <c r="BX16" s="1" t="s">
        <v>2183</v>
      </c>
      <c r="CD16" s="6" t="s">
        <v>173</v>
      </c>
      <c r="CE16" s="5">
        <f>CF15/100 - 1</f>
        <v>-4.7356282806803041E-3</v>
      </c>
    </row>
    <row r="17" spans="2:83" x14ac:dyDescent="0.2">
      <c r="B17" s="1" t="s">
        <v>1576</v>
      </c>
      <c r="H17" s="6" t="s">
        <v>173</v>
      </c>
      <c r="I17" s="5">
        <f>J16/100 -1</f>
        <v>2.7115636738914928E-2</v>
      </c>
      <c r="M17" s="1" t="s">
        <v>1575</v>
      </c>
      <c r="S17" s="6" t="s">
        <v>173</v>
      </c>
      <c r="T17" s="5">
        <f>U16/100 - 1</f>
        <v>1.9962811756841115E-2</v>
      </c>
      <c r="X17" s="1" t="s">
        <v>674</v>
      </c>
      <c r="AE17" s="6" t="s">
        <v>472</v>
      </c>
      <c r="AF17" s="5">
        <f>_xlfn.STDEV.S(AF4:AF15)*12^0.5</f>
        <v>4.9951130663333877E-2</v>
      </c>
      <c r="AJ17" s="1" t="s">
        <v>673</v>
      </c>
      <c r="AP17" s="6" t="s">
        <v>173</v>
      </c>
      <c r="AQ17" s="5">
        <f>AR16/100 - 1</f>
        <v>-5.3328466255463391E-3</v>
      </c>
      <c r="AT17" s="1" t="s">
        <v>2698</v>
      </c>
      <c r="AZ17" s="6" t="s">
        <v>472</v>
      </c>
      <c r="BA17" s="5">
        <f>_xlfn.STDEV.S(BA4:BA15)*12^0.5</f>
        <v>5.2547424467635113E-2</v>
      </c>
      <c r="BD17" s="1" t="s">
        <v>673</v>
      </c>
      <c r="BJ17" s="6" t="s">
        <v>472</v>
      </c>
      <c r="BK17" s="5">
        <f>_xlfn.STDEV.S(BK4:BK15)*12^0.5</f>
        <v>3.8434205882497186E-2</v>
      </c>
      <c r="BN17" s="1" t="s">
        <v>674</v>
      </c>
      <c r="BT17" s="6" t="s">
        <v>472</v>
      </c>
      <c r="BU17" s="5">
        <f>_xlfn.STDEV.S(BU4:BU15)*12^0.5</f>
        <v>5.293319116842217E-2</v>
      </c>
      <c r="BX17" s="1" t="s">
        <v>673</v>
      </c>
      <c r="CD17" s="6" t="s">
        <v>472</v>
      </c>
      <c r="CE17" s="5">
        <f>_xlfn.STDEV.S(CE4:CE15)*12^0.5</f>
        <v>3.7431379640859908E-2</v>
      </c>
    </row>
    <row r="18" spans="2:83" x14ac:dyDescent="0.2">
      <c r="B18" s="1" t="s">
        <v>1577</v>
      </c>
      <c r="H18" s="6" t="s">
        <v>472</v>
      </c>
      <c r="I18" s="5">
        <f>_xlfn.STDEV.S(I5:I16)*12^0.5</f>
        <v>5.3705146189845968E-2</v>
      </c>
      <c r="M18" s="1" t="s">
        <v>1578</v>
      </c>
      <c r="S18" s="6" t="s">
        <v>472</v>
      </c>
      <c r="T18" s="5">
        <f>_xlfn.STDEV.S(T5:T16)*12^0.5</f>
        <v>6.0837331541504253E-2</v>
      </c>
      <c r="X18" s="1" t="s">
        <v>673</v>
      </c>
      <c r="AE18" s="18" t="s">
        <v>171</v>
      </c>
      <c r="AF18" s="7">
        <f>(AF16-I1)/AF17</f>
        <v>0.11887206095407757</v>
      </c>
      <c r="AJ18" s="1" t="s">
        <v>775</v>
      </c>
      <c r="AP18" s="6" t="s">
        <v>472</v>
      </c>
      <c r="AQ18" s="5">
        <f>_xlfn.STDEV.S(AQ5:AQ16)*12^0.5</f>
        <v>3.743196252111046E-2</v>
      </c>
      <c r="AT18" s="1" t="s">
        <v>676</v>
      </c>
      <c r="AZ18" s="18" t="s">
        <v>171</v>
      </c>
      <c r="BA18" s="7">
        <f>(BA16-I1)/BA17</f>
        <v>-0.20160391004943309</v>
      </c>
      <c r="BD18" s="1" t="s">
        <v>775</v>
      </c>
      <c r="BJ18" s="18" t="s">
        <v>171</v>
      </c>
      <c r="BK18" s="7">
        <f>(BK16-I1)/BK17</f>
        <v>-0.83204052269976603</v>
      </c>
      <c r="BN18" s="1" t="s">
        <v>774</v>
      </c>
      <c r="BT18" s="18" t="s">
        <v>171</v>
      </c>
      <c r="BU18" s="7">
        <f>(BU16-I1)/BU17</f>
        <v>-5.3780486508925966E-2</v>
      </c>
      <c r="BX18" s="1" t="s">
        <v>775</v>
      </c>
      <c r="CD18" s="18" t="s">
        <v>171</v>
      </c>
      <c r="CE18" s="7">
        <f>(CE16-I1)/CE17</f>
        <v>-0.92798151214183577</v>
      </c>
    </row>
    <row r="19" spans="2:83" x14ac:dyDescent="0.2">
      <c r="B19" s="1" t="s">
        <v>1578</v>
      </c>
      <c r="H19" s="18" t="s">
        <v>171</v>
      </c>
      <c r="I19" s="7">
        <f>(I17-I1)/I18</f>
        <v>-5.3707390552274817E-2</v>
      </c>
      <c r="M19" s="1" t="s">
        <v>1579</v>
      </c>
      <c r="S19" s="18" t="s">
        <v>171</v>
      </c>
      <c r="T19" s="7">
        <f>(T17-I1)/T18</f>
        <v>-0.164984031824462</v>
      </c>
      <c r="X19" s="1" t="s">
        <v>774</v>
      </c>
      <c r="AE19" s="6" t="s">
        <v>474</v>
      </c>
      <c r="AF19" s="5">
        <f>_xlfn.STDEV.S(AH4:AH7)*12^0.5</f>
        <v>3.1494126436527811E-2</v>
      </c>
      <c r="AJ19" s="1" t="s">
        <v>677</v>
      </c>
      <c r="AP19" s="18" t="s">
        <v>171</v>
      </c>
      <c r="AQ19" s="7">
        <f>(AQ17-I1)/AQ18</f>
        <v>-0.94392183165976706</v>
      </c>
      <c r="AT19" s="1" t="s">
        <v>677</v>
      </c>
      <c r="AZ19" s="6" t="s">
        <v>474</v>
      </c>
      <c r="BA19" s="5">
        <f>_xlfn.STDEV.S(BC4:BC8)*12^0.5</f>
        <v>3.2915892817907876E-2</v>
      </c>
      <c r="BD19" s="1" t="s">
        <v>677</v>
      </c>
      <c r="BJ19" s="6" t="s">
        <v>474</v>
      </c>
      <c r="BK19" s="5">
        <f>_xlfn.STDEV.S(BM5:BM9)*12^0.5</f>
        <v>3.0985222284179281E-2</v>
      </c>
      <c r="BN19" s="1" t="s">
        <v>775</v>
      </c>
      <c r="BT19" s="6" t="s">
        <v>474</v>
      </c>
      <c r="BU19" s="5">
        <f>_xlfn.STDEV.S(BW5:BW9)*12^0.5</f>
        <v>2.9409590272562448E-2</v>
      </c>
      <c r="BX19" s="1" t="s">
        <v>677</v>
      </c>
      <c r="CD19" s="6" t="s">
        <v>474</v>
      </c>
      <c r="CE19" s="5">
        <f>_xlfn.STDEV.S(CG5:CG9)*12^0.5</f>
        <v>3.1558517075426708E-2</v>
      </c>
    </row>
    <row r="20" spans="2:83" x14ac:dyDescent="0.2">
      <c r="B20" s="1" t="s">
        <v>1579</v>
      </c>
      <c r="H20" s="6" t="s">
        <v>474</v>
      </c>
      <c r="I20" s="5">
        <f>_xlfn.STDEV.S(K5:K9)*12^0.5</f>
        <v>4.4667034824353399E-2</v>
      </c>
      <c r="M20" s="1" t="s">
        <v>1574</v>
      </c>
      <c r="S20" s="6" t="s">
        <v>474</v>
      </c>
      <c r="T20" s="5">
        <f>_xlfn.STDEV.S(V5:V7)*12^0.5</f>
        <v>7.4680117836007726E-2</v>
      </c>
      <c r="X20" s="1" t="s">
        <v>775</v>
      </c>
      <c r="AE20" s="6" t="s">
        <v>177</v>
      </c>
      <c r="AF20" s="7">
        <f>(AF16-I1)/AF19</f>
        <v>0.18853654699404807</v>
      </c>
      <c r="AJ20" s="1" t="s">
        <v>678</v>
      </c>
      <c r="AP20" s="6" t="s">
        <v>474</v>
      </c>
      <c r="AQ20" s="5">
        <f>_xlfn.STDEV.S(AS5:AS8)*12^0.5</f>
        <v>2.6025180114650499E-2</v>
      </c>
      <c r="AT20" s="1" t="s">
        <v>672</v>
      </c>
      <c r="AZ20" s="6" t="s">
        <v>177</v>
      </c>
      <c r="BA20" s="7">
        <f>(BA16-I1)/BA19</f>
        <v>-0.32184350259941774</v>
      </c>
      <c r="BD20" s="1" t="s">
        <v>678</v>
      </c>
      <c r="BJ20" s="6" t="s">
        <v>177</v>
      </c>
      <c r="BK20" s="7">
        <f>(BK16-I1)/BK19</f>
        <v>-1.0320667206686918</v>
      </c>
      <c r="BN20" s="1" t="s">
        <v>776</v>
      </c>
      <c r="BT20" s="6" t="s">
        <v>177</v>
      </c>
      <c r="BU20" s="7">
        <f>(BU16-I1)/BU19</f>
        <v>-9.6797430604247892E-2</v>
      </c>
      <c r="BX20" s="1" t="s">
        <v>678</v>
      </c>
      <c r="CD20" s="6" t="s">
        <v>177</v>
      </c>
      <c r="CE20" s="7">
        <f>(CE16-I1)/CE19</f>
        <v>-1.1006736532537353</v>
      </c>
    </row>
    <row r="21" spans="2:83" x14ac:dyDescent="0.2">
      <c r="B21" s="1" t="s">
        <v>1580</v>
      </c>
      <c r="H21" s="6" t="s">
        <v>177</v>
      </c>
      <c r="I21" s="7">
        <f>(I17-I1)/I20</f>
        <v>-6.4574764643039531E-2</v>
      </c>
      <c r="M21" s="1" t="s">
        <v>1687</v>
      </c>
      <c r="S21" s="6" t="s">
        <v>177</v>
      </c>
      <c r="T21" s="7">
        <f>(T17-I1)/T20</f>
        <v>-0.13440241571658795</v>
      </c>
      <c r="X21" s="1" t="s">
        <v>776</v>
      </c>
      <c r="AE21" s="6" t="s">
        <v>179</v>
      </c>
      <c r="AF21" s="5">
        <f>AF8+AF7</f>
        <v>-2.23E-2</v>
      </c>
      <c r="AJ21" s="1" t="s">
        <v>776</v>
      </c>
      <c r="AP21" s="6" t="s">
        <v>177</v>
      </c>
      <c r="AQ21" s="7">
        <f>(AQ17-I1)/AQ20</f>
        <v>-1.3576408105493272</v>
      </c>
      <c r="AT21" s="1" t="s">
        <v>674</v>
      </c>
      <c r="AZ21" s="6" t="s">
        <v>179</v>
      </c>
      <c r="BA21" s="5">
        <f>BA10+BA9+BA8</f>
        <v>-4.7E-2</v>
      </c>
      <c r="BD21" s="1" t="s">
        <v>776</v>
      </c>
      <c r="BJ21" s="6" t="s">
        <v>179</v>
      </c>
      <c r="BK21" s="5">
        <f>BK10+BK11</f>
        <v>-2.4899999999999999E-2</v>
      </c>
      <c r="BN21" s="1" t="s">
        <v>2154</v>
      </c>
      <c r="BT21" s="6" t="s">
        <v>179</v>
      </c>
      <c r="BU21" s="5">
        <f>BU10+BU11</f>
        <v>2.2000000000000006E-3</v>
      </c>
      <c r="BX21" s="1" t="s">
        <v>776</v>
      </c>
      <c r="CD21" s="6" t="s">
        <v>179</v>
      </c>
      <c r="CE21" s="5">
        <f>CE10+CE11</f>
        <v>-2.4899999999999999E-2</v>
      </c>
    </row>
    <row r="22" spans="2:83" x14ac:dyDescent="0.2">
      <c r="B22" s="1" t="s">
        <v>1581</v>
      </c>
      <c r="H22" s="6" t="s">
        <v>179</v>
      </c>
      <c r="I22" s="5">
        <f>I11+I12</f>
        <v>-2.6800000000000001E-2</v>
      </c>
      <c r="M22" s="1" t="s">
        <v>1688</v>
      </c>
      <c r="S22" s="6" t="s">
        <v>179</v>
      </c>
      <c r="T22" s="5">
        <f>V7</f>
        <v>-4.3400000000000001E-2</v>
      </c>
      <c r="X22" s="1" t="s">
        <v>2154</v>
      </c>
      <c r="AJ22" s="1" t="s">
        <v>2154</v>
      </c>
      <c r="AP22" s="6" t="s">
        <v>179</v>
      </c>
      <c r="AQ22" s="5">
        <f>AQ11+AQ12</f>
        <v>-2.4899999999999999E-2</v>
      </c>
      <c r="AT22" s="1" t="s">
        <v>673</v>
      </c>
      <c r="BD22" s="1" t="s">
        <v>2154</v>
      </c>
      <c r="BN22" s="1" t="s">
        <v>672</v>
      </c>
      <c r="BX22" s="1" t="s">
        <v>2154</v>
      </c>
    </row>
    <row r="23" spans="2:83" x14ac:dyDescent="0.2">
      <c r="B23" s="1" t="s">
        <v>1582</v>
      </c>
      <c r="M23" s="1" t="s">
        <v>1580</v>
      </c>
      <c r="X23" s="1" t="s">
        <v>676</v>
      </c>
      <c r="AJ23" s="1" t="s">
        <v>676</v>
      </c>
      <c r="AT23" s="1" t="s">
        <v>774</v>
      </c>
      <c r="BD23" s="1" t="s">
        <v>676</v>
      </c>
      <c r="BN23" s="1" t="s">
        <v>676</v>
      </c>
      <c r="BX23" s="1" t="s">
        <v>676</v>
      </c>
    </row>
    <row r="24" spans="2:83" x14ac:dyDescent="0.2">
      <c r="B24" s="1" t="s">
        <v>1583</v>
      </c>
      <c r="M24" s="1" t="s">
        <v>1689</v>
      </c>
      <c r="X24" s="1" t="s">
        <v>677</v>
      </c>
      <c r="AJ24" s="1" t="s">
        <v>679</v>
      </c>
      <c r="AT24" s="1" t="s">
        <v>775</v>
      </c>
      <c r="BD24" s="1" t="s">
        <v>679</v>
      </c>
      <c r="BN24" s="1" t="s">
        <v>677</v>
      </c>
      <c r="BX24" s="1" t="s">
        <v>679</v>
      </c>
    </row>
    <row r="25" spans="2:83" x14ac:dyDescent="0.2">
      <c r="B25" s="1" t="s">
        <v>1584</v>
      </c>
      <c r="M25" s="2" t="s">
        <v>1690</v>
      </c>
      <c r="X25" s="1" t="s">
        <v>773</v>
      </c>
      <c r="AJ25" s="1" t="s">
        <v>672</v>
      </c>
      <c r="AT25" s="1" t="s">
        <v>776</v>
      </c>
      <c r="BD25" s="1" t="s">
        <v>672</v>
      </c>
      <c r="BN25" s="1" t="s">
        <v>773</v>
      </c>
      <c r="BX25" s="1" t="s">
        <v>672</v>
      </c>
    </row>
    <row r="26" spans="2:83" x14ac:dyDescent="0.2">
      <c r="B26" s="1" t="s">
        <v>1585</v>
      </c>
      <c r="M26" s="1" t="s">
        <v>1582</v>
      </c>
    </row>
    <row r="27" spans="2:83" x14ac:dyDescent="0.2">
      <c r="B27" s="1" t="s">
        <v>1586</v>
      </c>
      <c r="M27" s="1" t="s">
        <v>1586</v>
      </c>
      <c r="X27" s="2" t="s">
        <v>2529</v>
      </c>
      <c r="AJ27" s="2" t="s">
        <v>2529</v>
      </c>
      <c r="AT27" s="2" t="s">
        <v>2699</v>
      </c>
      <c r="BD27" s="2" t="s">
        <v>2699</v>
      </c>
      <c r="BN27" s="2" t="s">
        <v>2922</v>
      </c>
      <c r="BX27" s="2" t="s">
        <v>2922</v>
      </c>
    </row>
    <row r="28" spans="2:83" x14ac:dyDescent="0.2">
      <c r="B28" s="1" t="s">
        <v>1587</v>
      </c>
      <c r="M28" s="1" t="s">
        <v>1584</v>
      </c>
      <c r="X28" s="1" t="s">
        <v>680</v>
      </c>
      <c r="AJ28" s="1" t="s">
        <v>686</v>
      </c>
      <c r="AT28" s="1" t="s">
        <v>680</v>
      </c>
      <c r="BD28" s="1" t="s">
        <v>686</v>
      </c>
      <c r="BN28" s="1" t="s">
        <v>680</v>
      </c>
      <c r="BX28" s="1" t="s">
        <v>686</v>
      </c>
    </row>
    <row r="29" spans="2:83" x14ac:dyDescent="0.2">
      <c r="B29" s="1" t="s">
        <v>1588</v>
      </c>
      <c r="M29" s="1" t="s">
        <v>1585</v>
      </c>
      <c r="X29" s="1" t="s">
        <v>777</v>
      </c>
      <c r="AJ29" s="1" t="s">
        <v>2184</v>
      </c>
      <c r="AT29" s="1" t="s">
        <v>777</v>
      </c>
      <c r="BD29" s="1" t="s">
        <v>2184</v>
      </c>
      <c r="BN29" s="1" t="s">
        <v>689</v>
      </c>
      <c r="BX29" s="1" t="s">
        <v>2184</v>
      </c>
    </row>
    <row r="30" spans="2:83" x14ac:dyDescent="0.2">
      <c r="B30" s="1" t="s">
        <v>1589</v>
      </c>
      <c r="M30" s="1" t="s">
        <v>1587</v>
      </c>
      <c r="X30" s="1" t="s">
        <v>685</v>
      </c>
      <c r="AJ30" s="1" t="s">
        <v>685</v>
      </c>
      <c r="AT30" s="1" t="s">
        <v>689</v>
      </c>
      <c r="BD30" s="1" t="s">
        <v>685</v>
      </c>
      <c r="BN30" s="1" t="s">
        <v>685</v>
      </c>
      <c r="BX30" s="1" t="s">
        <v>685</v>
      </c>
    </row>
    <row r="31" spans="2:83" x14ac:dyDescent="0.2">
      <c r="B31" s="1" t="s">
        <v>1590</v>
      </c>
      <c r="M31" s="1" t="s">
        <v>1588</v>
      </c>
      <c r="X31" s="1" t="s">
        <v>2155</v>
      </c>
      <c r="AJ31" s="1" t="s">
        <v>684</v>
      </c>
      <c r="AT31" s="1" t="s">
        <v>687</v>
      </c>
      <c r="BD31" s="1" t="s">
        <v>684</v>
      </c>
      <c r="BN31" s="1" t="s">
        <v>777</v>
      </c>
      <c r="BX31" s="1" t="s">
        <v>684</v>
      </c>
    </row>
    <row r="32" spans="2:83" x14ac:dyDescent="0.2">
      <c r="B32" s="1" t="s">
        <v>1591</v>
      </c>
      <c r="M32" s="1" t="s">
        <v>1589</v>
      </c>
      <c r="X32" s="1" t="s">
        <v>2156</v>
      </c>
      <c r="AJ32" s="1" t="s">
        <v>688</v>
      </c>
      <c r="AT32" s="1" t="s">
        <v>686</v>
      </c>
      <c r="BD32" s="1" t="s">
        <v>688</v>
      </c>
      <c r="BN32" s="1" t="s">
        <v>2156</v>
      </c>
      <c r="BX32" s="1" t="s">
        <v>688</v>
      </c>
    </row>
    <row r="33" spans="2:76" x14ac:dyDescent="0.2">
      <c r="B33" s="1" t="s">
        <v>1592</v>
      </c>
      <c r="M33" s="1" t="s">
        <v>1591</v>
      </c>
      <c r="X33" s="1" t="s">
        <v>686</v>
      </c>
      <c r="AJ33" s="1" t="s">
        <v>681</v>
      </c>
      <c r="AT33" s="1" t="s">
        <v>2184</v>
      </c>
      <c r="BD33" s="1" t="s">
        <v>681</v>
      </c>
      <c r="BN33" s="1" t="s">
        <v>2155</v>
      </c>
      <c r="BX33" s="1" t="s">
        <v>681</v>
      </c>
    </row>
    <row r="34" spans="2:76" x14ac:dyDescent="0.2">
      <c r="B34" s="1" t="s">
        <v>1593</v>
      </c>
      <c r="M34" s="1" t="s">
        <v>1583</v>
      </c>
      <c r="X34" s="1" t="s">
        <v>687</v>
      </c>
      <c r="AJ34" s="1" t="s">
        <v>682</v>
      </c>
      <c r="AT34" s="1" t="s">
        <v>2157</v>
      </c>
      <c r="BD34" s="1" t="s">
        <v>682</v>
      </c>
      <c r="BN34" s="1" t="s">
        <v>2158</v>
      </c>
      <c r="BX34" s="1" t="s">
        <v>682</v>
      </c>
    </row>
    <row r="35" spans="2:76" x14ac:dyDescent="0.2">
      <c r="B35" s="1" t="s">
        <v>1594</v>
      </c>
      <c r="M35" s="1" t="s">
        <v>1691</v>
      </c>
      <c r="X35" s="1" t="s">
        <v>689</v>
      </c>
      <c r="AJ35" s="1" t="s">
        <v>683</v>
      </c>
      <c r="AT35" s="1" t="s">
        <v>2155</v>
      </c>
      <c r="BD35" s="1" t="s">
        <v>683</v>
      </c>
      <c r="BN35" s="1" t="s">
        <v>2157</v>
      </c>
      <c r="BX35" s="1" t="s">
        <v>683</v>
      </c>
    </row>
    <row r="36" spans="2:76" x14ac:dyDescent="0.2">
      <c r="B36" s="1" t="s">
        <v>1595</v>
      </c>
      <c r="M36" s="2" t="s">
        <v>1692</v>
      </c>
      <c r="X36" s="1" t="s">
        <v>2157</v>
      </c>
      <c r="AJ36" s="1" t="s">
        <v>687</v>
      </c>
      <c r="AT36" s="1" t="s">
        <v>2156</v>
      </c>
      <c r="BD36" s="1" t="s">
        <v>687</v>
      </c>
      <c r="BN36" s="1" t="s">
        <v>686</v>
      </c>
      <c r="BX36" s="1" t="s">
        <v>687</v>
      </c>
    </row>
    <row r="37" spans="2:76" x14ac:dyDescent="0.2">
      <c r="B37" s="1" t="s">
        <v>1596</v>
      </c>
      <c r="M37" s="1" t="s">
        <v>1693</v>
      </c>
      <c r="X37" s="1" t="s">
        <v>2158</v>
      </c>
      <c r="AJ37" s="1" t="s">
        <v>689</v>
      </c>
      <c r="AT37" s="1" t="s">
        <v>685</v>
      </c>
      <c r="BD37" s="1" t="s">
        <v>689</v>
      </c>
      <c r="BN37" s="1" t="s">
        <v>2184</v>
      </c>
      <c r="BX37" s="1" t="s">
        <v>689</v>
      </c>
    </row>
    <row r="38" spans="2:76" x14ac:dyDescent="0.2">
      <c r="B38" s="1" t="s">
        <v>1597</v>
      </c>
      <c r="M38" s="1" t="s">
        <v>1694</v>
      </c>
    </row>
    <row r="39" spans="2:76" x14ac:dyDescent="0.2">
      <c r="B39" s="1" t="s">
        <v>1598</v>
      </c>
      <c r="M39" s="1" t="s">
        <v>1599</v>
      </c>
      <c r="X39" s="2" t="s">
        <v>2530</v>
      </c>
      <c r="AJ39" s="2" t="s">
        <v>2530</v>
      </c>
      <c r="AT39" s="2" t="s">
        <v>2700</v>
      </c>
      <c r="BD39" s="2" t="s">
        <v>2700</v>
      </c>
      <c r="BN39" s="2" t="s">
        <v>2923</v>
      </c>
      <c r="BX39" s="2" t="s">
        <v>2923</v>
      </c>
    </row>
    <row r="40" spans="2:76" x14ac:dyDescent="0.2">
      <c r="B40" s="1" t="s">
        <v>1599</v>
      </c>
      <c r="M40" s="1" t="s">
        <v>1595</v>
      </c>
      <c r="X40" s="1" t="s">
        <v>2159</v>
      </c>
      <c r="AJ40" s="1" t="s">
        <v>695</v>
      </c>
      <c r="AT40" s="1" t="s">
        <v>2159</v>
      </c>
      <c r="BD40" s="1" t="s">
        <v>695</v>
      </c>
      <c r="BN40" s="1" t="s">
        <v>2159</v>
      </c>
      <c r="BX40" s="1" t="s">
        <v>695</v>
      </c>
    </row>
    <row r="41" spans="2:76" x14ac:dyDescent="0.2">
      <c r="B41" s="1" t="s">
        <v>1600</v>
      </c>
      <c r="M41" s="1" t="s">
        <v>1601</v>
      </c>
      <c r="X41" s="1" t="s">
        <v>779</v>
      </c>
      <c r="AJ41" s="1" t="s">
        <v>696</v>
      </c>
      <c r="AT41" s="1" t="s">
        <v>696</v>
      </c>
      <c r="BD41" s="1" t="s">
        <v>696</v>
      </c>
      <c r="BN41" s="1" t="s">
        <v>693</v>
      </c>
      <c r="BX41" s="1" t="s">
        <v>696</v>
      </c>
    </row>
    <row r="42" spans="2:76" x14ac:dyDescent="0.2">
      <c r="B42" s="1" t="s">
        <v>1601</v>
      </c>
      <c r="M42" s="1" t="s">
        <v>1695</v>
      </c>
      <c r="X42" s="1" t="s">
        <v>694</v>
      </c>
      <c r="AJ42" s="1" t="s">
        <v>692</v>
      </c>
      <c r="AT42" s="1" t="s">
        <v>694</v>
      </c>
      <c r="BD42" s="1" t="s">
        <v>692</v>
      </c>
      <c r="BN42" s="1" t="s">
        <v>781</v>
      </c>
      <c r="BX42" s="1" t="s">
        <v>692</v>
      </c>
    </row>
    <row r="43" spans="2:76" x14ac:dyDescent="0.2">
      <c r="B43" s="1" t="s">
        <v>1602</v>
      </c>
      <c r="M43" s="1" t="s">
        <v>1696</v>
      </c>
      <c r="X43" s="1" t="s">
        <v>695</v>
      </c>
      <c r="AJ43" s="1" t="s">
        <v>697</v>
      </c>
      <c r="AT43" s="1" t="s">
        <v>695</v>
      </c>
      <c r="BD43" s="1" t="s">
        <v>697</v>
      </c>
      <c r="BN43" s="1" t="s">
        <v>695</v>
      </c>
      <c r="BX43" s="1" t="s">
        <v>697</v>
      </c>
    </row>
    <row r="44" spans="2:76" x14ac:dyDescent="0.2">
      <c r="B44" s="1" t="s">
        <v>1603</v>
      </c>
      <c r="M44" s="1" t="s">
        <v>1697</v>
      </c>
      <c r="X44" s="1" t="s">
        <v>2160</v>
      </c>
      <c r="AJ44" s="1" t="s">
        <v>780</v>
      </c>
      <c r="AT44" s="1" t="s">
        <v>2160</v>
      </c>
      <c r="BD44" s="1" t="s">
        <v>780</v>
      </c>
      <c r="BN44" s="1" t="s">
        <v>694</v>
      </c>
      <c r="BX44" s="1" t="s">
        <v>780</v>
      </c>
    </row>
    <row r="45" spans="2:76" x14ac:dyDescent="0.2">
      <c r="B45" s="1" t="s">
        <v>1604</v>
      </c>
      <c r="M45" s="1" t="s">
        <v>1698</v>
      </c>
      <c r="X45" s="1" t="s">
        <v>781</v>
      </c>
      <c r="AJ45" s="1" t="s">
        <v>782</v>
      </c>
      <c r="AT45" s="1" t="s">
        <v>781</v>
      </c>
      <c r="BD45" s="1" t="s">
        <v>782</v>
      </c>
      <c r="BN45" s="1" t="s">
        <v>783</v>
      </c>
      <c r="BX45" s="1" t="s">
        <v>782</v>
      </c>
    </row>
    <row r="46" spans="2:76" x14ac:dyDescent="0.2">
      <c r="B46" s="1" t="s">
        <v>1605</v>
      </c>
      <c r="M46" s="1" t="s">
        <v>1699</v>
      </c>
      <c r="X46" s="1" t="s">
        <v>783</v>
      </c>
      <c r="AJ46" s="1" t="s">
        <v>781</v>
      </c>
      <c r="AT46" s="1" t="s">
        <v>783</v>
      </c>
      <c r="BD46" s="1" t="s">
        <v>781</v>
      </c>
      <c r="BN46" s="1" t="s">
        <v>784</v>
      </c>
      <c r="BX46" s="1" t="s">
        <v>781</v>
      </c>
    </row>
    <row r="47" spans="2:76" x14ac:dyDescent="0.2">
      <c r="B47" s="1" t="s">
        <v>1606</v>
      </c>
      <c r="M47" s="2" t="s">
        <v>1700</v>
      </c>
      <c r="X47" s="1" t="s">
        <v>784</v>
      </c>
      <c r="AJ47" s="1" t="s">
        <v>783</v>
      </c>
      <c r="AT47" s="1" t="s">
        <v>784</v>
      </c>
      <c r="BD47" s="1" t="s">
        <v>783</v>
      </c>
      <c r="BN47" s="1" t="s">
        <v>690</v>
      </c>
      <c r="BX47" s="1" t="s">
        <v>783</v>
      </c>
    </row>
    <row r="48" spans="2:76" x14ac:dyDescent="0.2">
      <c r="B48" s="1" t="s">
        <v>1607</v>
      </c>
      <c r="M48" s="1" t="s">
        <v>1701</v>
      </c>
      <c r="X48" s="1" t="s">
        <v>690</v>
      </c>
      <c r="AJ48" s="1" t="s">
        <v>784</v>
      </c>
      <c r="AT48" s="1" t="s">
        <v>690</v>
      </c>
      <c r="BD48" s="1" t="s">
        <v>784</v>
      </c>
      <c r="BN48" s="1" t="s">
        <v>691</v>
      </c>
      <c r="BX48" s="1" t="s">
        <v>784</v>
      </c>
    </row>
    <row r="49" spans="2:76" x14ac:dyDescent="0.2">
      <c r="B49" s="1" t="s">
        <v>1608</v>
      </c>
      <c r="M49" s="1" t="s">
        <v>1604</v>
      </c>
      <c r="X49" s="1" t="s">
        <v>778</v>
      </c>
      <c r="AJ49" s="1" t="s">
        <v>690</v>
      </c>
      <c r="AT49" s="1" t="s">
        <v>691</v>
      </c>
      <c r="BD49" s="1" t="s">
        <v>690</v>
      </c>
      <c r="BN49" s="1" t="s">
        <v>778</v>
      </c>
      <c r="BX49" s="1" t="s">
        <v>690</v>
      </c>
    </row>
    <row r="50" spans="2:76" x14ac:dyDescent="0.2">
      <c r="B50" s="1" t="s">
        <v>1609</v>
      </c>
      <c r="M50" s="1" t="s">
        <v>1603</v>
      </c>
    </row>
    <row r="51" spans="2:76" x14ac:dyDescent="0.2">
      <c r="B51" s="1" t="s">
        <v>1610</v>
      </c>
      <c r="M51" s="1" t="s">
        <v>1605</v>
      </c>
      <c r="X51" s="2" t="s">
        <v>2531</v>
      </c>
      <c r="AJ51" s="2" t="s">
        <v>2531</v>
      </c>
      <c r="AT51" s="2" t="s">
        <v>2701</v>
      </c>
      <c r="BD51" s="2" t="s">
        <v>2701</v>
      </c>
      <c r="BN51" s="2" t="s">
        <v>2924</v>
      </c>
      <c r="BX51" s="2" t="s">
        <v>2924</v>
      </c>
    </row>
    <row r="52" spans="2:76" x14ac:dyDescent="0.2">
      <c r="B52" s="1" t="s">
        <v>1611</v>
      </c>
      <c r="M52" s="1" t="s">
        <v>1702</v>
      </c>
      <c r="X52" s="1" t="s">
        <v>786</v>
      </c>
      <c r="AJ52" s="1" t="s">
        <v>698</v>
      </c>
      <c r="AT52" s="1" t="s">
        <v>2162</v>
      </c>
      <c r="BD52" s="1" t="s">
        <v>698</v>
      </c>
      <c r="BN52" s="1" t="s">
        <v>703</v>
      </c>
      <c r="BX52" s="1" t="s">
        <v>698</v>
      </c>
    </row>
    <row r="53" spans="2:76" x14ac:dyDescent="0.2">
      <c r="B53" s="1" t="s">
        <v>1612</v>
      </c>
      <c r="M53" s="1" t="s">
        <v>1608</v>
      </c>
      <c r="X53" s="1" t="s">
        <v>701</v>
      </c>
      <c r="AJ53" s="1" t="s">
        <v>2541</v>
      </c>
      <c r="AT53" s="1" t="s">
        <v>786</v>
      </c>
      <c r="BD53" s="1" t="s">
        <v>2541</v>
      </c>
      <c r="BN53" s="1" t="s">
        <v>701</v>
      </c>
      <c r="BX53" s="1" t="s">
        <v>705</v>
      </c>
    </row>
    <row r="54" spans="2:76" x14ac:dyDescent="0.2">
      <c r="B54" s="1" t="s">
        <v>1613</v>
      </c>
      <c r="M54" s="1" t="s">
        <v>1703</v>
      </c>
      <c r="X54" s="1" t="s">
        <v>2161</v>
      </c>
      <c r="AJ54" s="1" t="s">
        <v>787</v>
      </c>
      <c r="AT54" s="1" t="s">
        <v>698</v>
      </c>
      <c r="BD54" s="1" t="s">
        <v>787</v>
      </c>
      <c r="BN54" s="1" t="s">
        <v>700</v>
      </c>
      <c r="BX54" s="1" t="s">
        <v>787</v>
      </c>
    </row>
    <row r="55" spans="2:76" x14ac:dyDescent="0.2">
      <c r="B55" s="1" t="s">
        <v>1614</v>
      </c>
      <c r="M55" s="1" t="s">
        <v>1704</v>
      </c>
      <c r="X55" s="1" t="s">
        <v>698</v>
      </c>
      <c r="AJ55" s="1" t="s">
        <v>701</v>
      </c>
      <c r="AT55" s="1" t="s">
        <v>2161</v>
      </c>
      <c r="BD55" s="1" t="s">
        <v>701</v>
      </c>
      <c r="BN55" s="1" t="s">
        <v>2161</v>
      </c>
      <c r="BX55" s="1" t="s">
        <v>701</v>
      </c>
    </row>
    <row r="56" spans="2:76" x14ac:dyDescent="0.2">
      <c r="B56" s="1" t="s">
        <v>1615</v>
      </c>
      <c r="M56" s="1" t="s">
        <v>1705</v>
      </c>
      <c r="X56" s="1" t="s">
        <v>700</v>
      </c>
      <c r="AJ56" s="1" t="s">
        <v>702</v>
      </c>
      <c r="AT56" s="1" t="s">
        <v>700</v>
      </c>
      <c r="BD56" s="1" t="s">
        <v>702</v>
      </c>
      <c r="BN56" s="1" t="s">
        <v>786</v>
      </c>
      <c r="BX56" s="1" t="s">
        <v>702</v>
      </c>
    </row>
    <row r="57" spans="2:76" x14ac:dyDescent="0.2">
      <c r="B57" s="1" t="s">
        <v>1616</v>
      </c>
      <c r="M57" s="1" t="s">
        <v>1609</v>
      </c>
      <c r="X57" s="1" t="s">
        <v>703</v>
      </c>
      <c r="AJ57" s="1" t="s">
        <v>703</v>
      </c>
      <c r="AT57" s="1" t="s">
        <v>701</v>
      </c>
      <c r="BD57" s="1" t="s">
        <v>703</v>
      </c>
      <c r="BN57" s="1" t="s">
        <v>698</v>
      </c>
      <c r="BX57" s="1" t="s">
        <v>703</v>
      </c>
    </row>
    <row r="58" spans="2:76" x14ac:dyDescent="0.2">
      <c r="B58" s="1" t="s">
        <v>1617</v>
      </c>
      <c r="M58" s="2" t="s">
        <v>1706</v>
      </c>
      <c r="X58" s="1" t="s">
        <v>707</v>
      </c>
      <c r="AJ58" s="1" t="s">
        <v>699</v>
      </c>
      <c r="AT58" s="1" t="s">
        <v>703</v>
      </c>
      <c r="BD58" s="1" t="s">
        <v>699</v>
      </c>
      <c r="BN58" s="1" t="s">
        <v>704</v>
      </c>
      <c r="BX58" s="1" t="s">
        <v>699</v>
      </c>
    </row>
    <row r="59" spans="2:76" x14ac:dyDescent="0.2">
      <c r="B59" s="1" t="s">
        <v>1618</v>
      </c>
      <c r="M59" s="1" t="s">
        <v>1612</v>
      </c>
      <c r="X59" s="1" t="s">
        <v>706</v>
      </c>
      <c r="AJ59" s="1" t="s">
        <v>2162</v>
      </c>
      <c r="AT59" s="1" t="s">
        <v>707</v>
      </c>
      <c r="BD59" s="1" t="s">
        <v>2162</v>
      </c>
      <c r="BN59" s="1" t="s">
        <v>2162</v>
      </c>
      <c r="BX59" s="1" t="s">
        <v>2162</v>
      </c>
    </row>
    <row r="60" spans="2:76" x14ac:dyDescent="0.2">
      <c r="B60" s="1" t="s">
        <v>1619</v>
      </c>
      <c r="M60" s="1" t="s">
        <v>1615</v>
      </c>
      <c r="X60" s="1" t="s">
        <v>699</v>
      </c>
      <c r="AJ60" s="1" t="s">
        <v>785</v>
      </c>
      <c r="AT60" s="1" t="s">
        <v>706</v>
      </c>
      <c r="BD60" s="1" t="s">
        <v>785</v>
      </c>
      <c r="BN60" s="1" t="s">
        <v>707</v>
      </c>
      <c r="BX60" s="1" t="s">
        <v>785</v>
      </c>
    </row>
    <row r="61" spans="2:76" x14ac:dyDescent="0.2">
      <c r="B61" s="1" t="s">
        <v>1620</v>
      </c>
      <c r="M61" s="1" t="s">
        <v>1707</v>
      </c>
      <c r="X61" s="1" t="s">
        <v>2162</v>
      </c>
      <c r="AJ61" s="1" t="s">
        <v>704</v>
      </c>
      <c r="AT61" s="1" t="s">
        <v>699</v>
      </c>
      <c r="BD61" s="1" t="s">
        <v>704</v>
      </c>
      <c r="BN61" s="1" t="s">
        <v>706</v>
      </c>
      <c r="BX61" s="1" t="s">
        <v>704</v>
      </c>
    </row>
    <row r="62" spans="2:76" x14ac:dyDescent="0.2">
      <c r="B62" s="1" t="s">
        <v>1621</v>
      </c>
      <c r="M62" s="1" t="s">
        <v>1621</v>
      </c>
    </row>
    <row r="63" spans="2:76" x14ac:dyDescent="0.2">
      <c r="B63" s="1" t="s">
        <v>1622</v>
      </c>
      <c r="M63" s="1" t="s">
        <v>1620</v>
      </c>
      <c r="X63" s="2" t="s">
        <v>2532</v>
      </c>
      <c r="AJ63" s="2" t="s">
        <v>2532</v>
      </c>
      <c r="AT63" s="2" t="s">
        <v>2702</v>
      </c>
      <c r="BD63" s="2" t="s">
        <v>2702</v>
      </c>
      <c r="BN63" s="2" t="s">
        <v>2925</v>
      </c>
      <c r="BX63" s="2" t="s">
        <v>2925</v>
      </c>
    </row>
    <row r="64" spans="2:76" x14ac:dyDescent="0.2">
      <c r="B64" s="1" t="s">
        <v>1623</v>
      </c>
      <c r="M64" s="1" t="s">
        <v>1613</v>
      </c>
      <c r="X64" s="1" t="s">
        <v>708</v>
      </c>
      <c r="AJ64" s="1" t="s">
        <v>708</v>
      </c>
      <c r="AT64" s="1" t="s">
        <v>708</v>
      </c>
      <c r="BD64" s="1" t="s">
        <v>708</v>
      </c>
      <c r="BN64" s="1" t="s">
        <v>708</v>
      </c>
      <c r="BX64" s="1" t="s">
        <v>708</v>
      </c>
    </row>
    <row r="65" spans="2:76" x14ac:dyDescent="0.2">
      <c r="B65" s="1" t="s">
        <v>1624</v>
      </c>
      <c r="M65" s="1" t="s">
        <v>1618</v>
      </c>
      <c r="X65" s="1" t="s">
        <v>712</v>
      </c>
      <c r="AJ65" s="1" t="s">
        <v>709</v>
      </c>
      <c r="AT65" s="1" t="s">
        <v>711</v>
      </c>
      <c r="BD65" s="1" t="s">
        <v>709</v>
      </c>
      <c r="BN65" s="1" t="s">
        <v>788</v>
      </c>
      <c r="BX65" s="1" t="s">
        <v>709</v>
      </c>
    </row>
    <row r="66" spans="2:76" x14ac:dyDescent="0.2">
      <c r="B66" s="1" t="s">
        <v>1625</v>
      </c>
      <c r="M66" s="1" t="s">
        <v>1614</v>
      </c>
      <c r="X66" s="1" t="s">
        <v>711</v>
      </c>
      <c r="AJ66" s="1" t="s">
        <v>713</v>
      </c>
      <c r="AT66" s="1" t="s">
        <v>788</v>
      </c>
      <c r="BD66" s="1" t="s">
        <v>713</v>
      </c>
      <c r="BN66" s="1" t="s">
        <v>709</v>
      </c>
      <c r="BX66" s="1" t="s">
        <v>713</v>
      </c>
    </row>
    <row r="67" spans="2:76" x14ac:dyDescent="0.2">
      <c r="B67" s="1" t="s">
        <v>1626</v>
      </c>
      <c r="M67" s="1" t="s">
        <v>1619</v>
      </c>
      <c r="X67" s="1" t="s">
        <v>2533</v>
      </c>
      <c r="AJ67" s="1" t="s">
        <v>715</v>
      </c>
      <c r="AT67" s="1" t="s">
        <v>2163</v>
      </c>
      <c r="BD67" s="1" t="s">
        <v>715</v>
      </c>
      <c r="BN67" s="1" t="s">
        <v>714</v>
      </c>
      <c r="BX67" s="1" t="s">
        <v>715</v>
      </c>
    </row>
    <row r="68" spans="2:76" x14ac:dyDescent="0.2">
      <c r="B68" s="1" t="s">
        <v>1627</v>
      </c>
      <c r="M68" s="1" t="s">
        <v>1617</v>
      </c>
      <c r="X68" s="1" t="s">
        <v>713</v>
      </c>
      <c r="AJ68" s="1" t="s">
        <v>712</v>
      </c>
      <c r="AT68" s="1" t="s">
        <v>709</v>
      </c>
      <c r="BD68" s="1" t="s">
        <v>712</v>
      </c>
      <c r="BN68" s="1" t="s">
        <v>712</v>
      </c>
      <c r="BX68" s="1" t="s">
        <v>712</v>
      </c>
    </row>
    <row r="69" spans="2:76" x14ac:dyDescent="0.2">
      <c r="B69" s="1" t="s">
        <v>1628</v>
      </c>
      <c r="M69" s="2" t="s">
        <v>1708</v>
      </c>
      <c r="X69" s="1" t="s">
        <v>715</v>
      </c>
      <c r="AJ69" s="1" t="s">
        <v>714</v>
      </c>
      <c r="AT69" s="1" t="s">
        <v>714</v>
      </c>
      <c r="BD69" s="1" t="s">
        <v>714</v>
      </c>
      <c r="BN69" s="1" t="s">
        <v>2164</v>
      </c>
      <c r="BX69" s="1" t="s">
        <v>714</v>
      </c>
    </row>
    <row r="70" spans="2:76" x14ac:dyDescent="0.2">
      <c r="B70" s="1" t="s">
        <v>1629</v>
      </c>
      <c r="M70" s="1" t="s">
        <v>1622</v>
      </c>
      <c r="X70" s="1" t="s">
        <v>2164</v>
      </c>
      <c r="AJ70" s="1" t="s">
        <v>710</v>
      </c>
      <c r="AT70" s="1" t="s">
        <v>712</v>
      </c>
      <c r="BD70" s="1" t="s">
        <v>710</v>
      </c>
      <c r="BN70" s="1" t="s">
        <v>715</v>
      </c>
      <c r="BX70" s="1" t="s">
        <v>710</v>
      </c>
    </row>
    <row r="71" spans="2:76" x14ac:dyDescent="0.2">
      <c r="B71" s="1" t="s">
        <v>1630</v>
      </c>
      <c r="M71" s="1" t="s">
        <v>1631</v>
      </c>
      <c r="X71" s="1" t="s">
        <v>2163</v>
      </c>
      <c r="AJ71" s="1" t="s">
        <v>711</v>
      </c>
      <c r="AT71" s="1" t="s">
        <v>2164</v>
      </c>
      <c r="BD71" s="1" t="s">
        <v>711</v>
      </c>
      <c r="BN71" s="1" t="s">
        <v>713</v>
      </c>
      <c r="BX71" s="1" t="s">
        <v>711</v>
      </c>
    </row>
    <row r="72" spans="2:76" x14ac:dyDescent="0.2">
      <c r="B72" s="1" t="s">
        <v>1631</v>
      </c>
      <c r="M72" s="1" t="s">
        <v>1624</v>
      </c>
      <c r="X72" s="1" t="s">
        <v>714</v>
      </c>
      <c r="AJ72" s="1" t="s">
        <v>716</v>
      </c>
      <c r="AT72" s="1" t="s">
        <v>715</v>
      </c>
      <c r="BD72" s="1" t="s">
        <v>716</v>
      </c>
      <c r="BN72" s="1" t="s">
        <v>2533</v>
      </c>
      <c r="BX72" s="1" t="s">
        <v>716</v>
      </c>
    </row>
    <row r="73" spans="2:76" x14ac:dyDescent="0.2">
      <c r="B73" s="1" t="s">
        <v>1632</v>
      </c>
      <c r="M73" s="1" t="s">
        <v>1625</v>
      </c>
      <c r="X73" s="1" t="s">
        <v>788</v>
      </c>
      <c r="AJ73" s="1" t="s">
        <v>717</v>
      </c>
      <c r="AT73" s="1" t="s">
        <v>713</v>
      </c>
      <c r="BD73" s="1" t="s">
        <v>717</v>
      </c>
      <c r="BN73" s="1" t="s">
        <v>711</v>
      </c>
      <c r="BX73" s="1" t="s">
        <v>717</v>
      </c>
    </row>
    <row r="74" spans="2:76" x14ac:dyDescent="0.2">
      <c r="B74" s="1" t="s">
        <v>1633</v>
      </c>
      <c r="M74" s="1" t="s">
        <v>1626</v>
      </c>
      <c r="AJ74" s="2" t="s">
        <v>2534</v>
      </c>
    </row>
    <row r="75" spans="2:76" x14ac:dyDescent="0.2">
      <c r="B75" s="1" t="s">
        <v>1634</v>
      </c>
      <c r="M75" s="1" t="s">
        <v>1627</v>
      </c>
      <c r="X75" s="2" t="s">
        <v>2534</v>
      </c>
      <c r="AJ75" s="1" t="s">
        <v>718</v>
      </c>
      <c r="AT75" s="2" t="s">
        <v>2703</v>
      </c>
      <c r="BD75" s="2" t="s">
        <v>2703</v>
      </c>
      <c r="BN75" s="2" t="s">
        <v>2926</v>
      </c>
      <c r="BX75" s="2" t="s">
        <v>2926</v>
      </c>
    </row>
    <row r="76" spans="2:76" x14ac:dyDescent="0.2">
      <c r="B76" s="1" t="s">
        <v>1635</v>
      </c>
      <c r="M76" s="1" t="s">
        <v>1628</v>
      </c>
      <c r="X76" s="1" t="s">
        <v>718</v>
      </c>
      <c r="AJ76" s="1" t="s">
        <v>789</v>
      </c>
      <c r="AT76" s="1" t="s">
        <v>718</v>
      </c>
      <c r="BD76" s="1" t="s">
        <v>718</v>
      </c>
      <c r="BN76" s="1" t="s">
        <v>718</v>
      </c>
      <c r="BX76" s="1" t="s">
        <v>718</v>
      </c>
    </row>
    <row r="77" spans="2:76" x14ac:dyDescent="0.2">
      <c r="B77" s="1" t="s">
        <v>1636</v>
      </c>
      <c r="M77" s="1" t="s">
        <v>1629</v>
      </c>
      <c r="X77" s="1" t="s">
        <v>719</v>
      </c>
      <c r="AJ77" s="1" t="s">
        <v>720</v>
      </c>
      <c r="AT77" s="1" t="s">
        <v>719</v>
      </c>
      <c r="BD77" s="1" t="s">
        <v>789</v>
      </c>
      <c r="BN77" s="1" t="s">
        <v>719</v>
      </c>
      <c r="BX77" s="1" t="s">
        <v>789</v>
      </c>
    </row>
    <row r="78" spans="2:76" x14ac:dyDescent="0.2">
      <c r="B78" s="1" t="s">
        <v>1637</v>
      </c>
      <c r="M78" s="1" t="s">
        <v>1630</v>
      </c>
      <c r="X78" s="1" t="s">
        <v>720</v>
      </c>
      <c r="AJ78" s="1" t="s">
        <v>721</v>
      </c>
      <c r="AT78" s="1" t="s">
        <v>720</v>
      </c>
      <c r="BD78" s="1" t="s">
        <v>720</v>
      </c>
      <c r="BN78" s="1" t="s">
        <v>720</v>
      </c>
      <c r="BX78" s="1" t="s">
        <v>720</v>
      </c>
    </row>
    <row r="79" spans="2:76" x14ac:dyDescent="0.2">
      <c r="B79" s="1" t="s">
        <v>1638</v>
      </c>
      <c r="M79" s="1" t="s">
        <v>1709</v>
      </c>
      <c r="X79" s="1" t="s">
        <v>721</v>
      </c>
      <c r="AJ79" s="1" t="s">
        <v>722</v>
      </c>
      <c r="AT79" s="1" t="s">
        <v>721</v>
      </c>
      <c r="BD79" s="1" t="s">
        <v>721</v>
      </c>
      <c r="BN79" s="1" t="s">
        <v>2927</v>
      </c>
      <c r="BX79" s="1" t="s">
        <v>721</v>
      </c>
    </row>
    <row r="80" spans="2:76" x14ac:dyDescent="0.2">
      <c r="B80" s="1" t="s">
        <v>1639</v>
      </c>
      <c r="M80" s="2" t="s">
        <v>1710</v>
      </c>
      <c r="X80" s="1" t="s">
        <v>2165</v>
      </c>
      <c r="AJ80" s="1" t="s">
        <v>723</v>
      </c>
      <c r="AT80" s="1" t="s">
        <v>2704</v>
      </c>
      <c r="BD80" s="1" t="s">
        <v>722</v>
      </c>
      <c r="BN80" s="1" t="s">
        <v>2704</v>
      </c>
      <c r="BX80" s="1" t="s">
        <v>722</v>
      </c>
    </row>
    <row r="81" spans="2:76" x14ac:dyDescent="0.2">
      <c r="B81" s="1" t="s">
        <v>1640</v>
      </c>
      <c r="M81" s="1" t="s">
        <v>1639</v>
      </c>
      <c r="X81" s="1" t="s">
        <v>722</v>
      </c>
      <c r="AJ81" s="1" t="s">
        <v>724</v>
      </c>
      <c r="AT81" s="1" t="s">
        <v>2705</v>
      </c>
      <c r="BD81" s="1" t="s">
        <v>723</v>
      </c>
      <c r="BN81" s="1" t="s">
        <v>2165</v>
      </c>
      <c r="BX81" s="1" t="s">
        <v>723</v>
      </c>
    </row>
    <row r="82" spans="2:76" x14ac:dyDescent="0.2">
      <c r="B82" s="1" t="s">
        <v>1641</v>
      </c>
      <c r="M82" s="1" t="s">
        <v>1641</v>
      </c>
      <c r="X82" s="1" t="s">
        <v>723</v>
      </c>
      <c r="AJ82" s="1" t="s">
        <v>725</v>
      </c>
      <c r="AT82" s="1" t="s">
        <v>722</v>
      </c>
      <c r="BD82" s="1" t="s">
        <v>724</v>
      </c>
      <c r="BN82" s="1" t="s">
        <v>722</v>
      </c>
      <c r="BX82" s="1" t="s">
        <v>724</v>
      </c>
    </row>
    <row r="83" spans="2:76" x14ac:dyDescent="0.2">
      <c r="B83" s="1" t="s">
        <v>1642</v>
      </c>
      <c r="M83" s="1" t="s">
        <v>1634</v>
      </c>
      <c r="X83" s="1" t="s">
        <v>724</v>
      </c>
      <c r="AJ83" s="1" t="s">
        <v>726</v>
      </c>
      <c r="AT83" s="1" t="s">
        <v>723</v>
      </c>
      <c r="BD83" s="1" t="s">
        <v>725</v>
      </c>
      <c r="BN83" s="1" t="s">
        <v>723</v>
      </c>
      <c r="BX83" s="1" t="s">
        <v>725</v>
      </c>
    </row>
    <row r="84" spans="2:76" x14ac:dyDescent="0.2">
      <c r="B84" s="1" t="s">
        <v>1643</v>
      </c>
      <c r="M84" s="1" t="s">
        <v>1711</v>
      </c>
      <c r="X84" s="1" t="s">
        <v>726</v>
      </c>
      <c r="AJ84" s="1" t="s">
        <v>2185</v>
      </c>
      <c r="AT84" s="1" t="s">
        <v>724</v>
      </c>
      <c r="BD84" s="1" t="s">
        <v>726</v>
      </c>
      <c r="BN84" s="1" t="s">
        <v>724</v>
      </c>
      <c r="BX84" s="1" t="s">
        <v>726</v>
      </c>
    </row>
    <row r="85" spans="2:76" x14ac:dyDescent="0.2">
      <c r="B85" s="1" t="s">
        <v>1644</v>
      </c>
      <c r="M85" s="1" t="s">
        <v>1636</v>
      </c>
      <c r="X85" s="1" t="s">
        <v>727</v>
      </c>
      <c r="AT85" s="1" t="s">
        <v>726</v>
      </c>
      <c r="BD85" s="1" t="s">
        <v>2185</v>
      </c>
      <c r="BN85" s="1" t="s">
        <v>726</v>
      </c>
      <c r="BX85" s="1" t="s">
        <v>2185</v>
      </c>
    </row>
    <row r="86" spans="2:76" x14ac:dyDescent="0.2">
      <c r="B86" s="1" t="s">
        <v>1645</v>
      </c>
      <c r="M86" s="1" t="s">
        <v>1712</v>
      </c>
      <c r="AJ86" s="2" t="s">
        <v>2535</v>
      </c>
    </row>
    <row r="87" spans="2:76" x14ac:dyDescent="0.2">
      <c r="B87" s="1" t="s">
        <v>1646</v>
      </c>
      <c r="M87" s="1" t="s">
        <v>1637</v>
      </c>
      <c r="X87" s="2" t="s">
        <v>2535</v>
      </c>
      <c r="AJ87" s="1" t="s">
        <v>731</v>
      </c>
      <c r="AT87" s="2" t="s">
        <v>2706</v>
      </c>
      <c r="BD87" s="2" t="s">
        <v>2706</v>
      </c>
      <c r="BN87" s="2" t="s">
        <v>2928</v>
      </c>
      <c r="BX87" s="2" t="s">
        <v>2928</v>
      </c>
    </row>
    <row r="88" spans="2:76" x14ac:dyDescent="0.2">
      <c r="B88" s="1" t="s">
        <v>1647</v>
      </c>
      <c r="M88" s="1" t="s">
        <v>1713</v>
      </c>
      <c r="X88" s="1" t="s">
        <v>791</v>
      </c>
      <c r="AJ88" s="1" t="s">
        <v>732</v>
      </c>
      <c r="AT88" s="1" t="s">
        <v>733</v>
      </c>
      <c r="BD88" s="1" t="s">
        <v>731</v>
      </c>
      <c r="BN88" s="1" t="s">
        <v>732</v>
      </c>
      <c r="BX88" s="1" t="s">
        <v>731</v>
      </c>
    </row>
    <row r="89" spans="2:76" x14ac:dyDescent="0.2">
      <c r="B89" s="1" t="s">
        <v>1648</v>
      </c>
      <c r="M89" s="1" t="s">
        <v>1635</v>
      </c>
      <c r="X89" s="1" t="s">
        <v>2166</v>
      </c>
      <c r="AJ89" s="1" t="s">
        <v>734</v>
      </c>
      <c r="AT89" s="1" t="s">
        <v>791</v>
      </c>
      <c r="BD89" s="1" t="s">
        <v>732</v>
      </c>
      <c r="BN89" s="1" t="s">
        <v>2929</v>
      </c>
      <c r="BX89" s="1" t="s">
        <v>732</v>
      </c>
    </row>
    <row r="90" spans="2:76" x14ac:dyDescent="0.2">
      <c r="B90" s="1" t="s">
        <v>1649</v>
      </c>
      <c r="M90" s="1" t="s">
        <v>1632</v>
      </c>
      <c r="X90" s="1" t="s">
        <v>2167</v>
      </c>
      <c r="AJ90" s="1" t="s">
        <v>2186</v>
      </c>
      <c r="AT90" s="1" t="s">
        <v>2169</v>
      </c>
      <c r="BD90" s="1" t="s">
        <v>734</v>
      </c>
      <c r="BN90" s="1" t="s">
        <v>731</v>
      </c>
      <c r="BX90" s="1" t="s">
        <v>734</v>
      </c>
    </row>
    <row r="91" spans="2:76" x14ac:dyDescent="0.2">
      <c r="B91" s="1" t="s">
        <v>1650</v>
      </c>
      <c r="M91" s="2" t="s">
        <v>1714</v>
      </c>
      <c r="X91" s="1" t="s">
        <v>731</v>
      </c>
      <c r="AJ91" s="1" t="s">
        <v>733</v>
      </c>
      <c r="AT91" s="1" t="s">
        <v>2168</v>
      </c>
      <c r="BD91" s="1" t="s">
        <v>2186</v>
      </c>
      <c r="BN91" s="1" t="s">
        <v>2167</v>
      </c>
      <c r="BX91" s="1" t="s">
        <v>2186</v>
      </c>
    </row>
    <row r="92" spans="2:76" x14ac:dyDescent="0.2">
      <c r="B92" s="1" t="s">
        <v>1651</v>
      </c>
      <c r="M92" s="1" t="s">
        <v>1642</v>
      </c>
      <c r="X92" s="1" t="s">
        <v>2168</v>
      </c>
      <c r="AJ92" s="1" t="s">
        <v>792</v>
      </c>
      <c r="AT92" s="1" t="s">
        <v>2167</v>
      </c>
      <c r="BD92" s="1" t="s">
        <v>733</v>
      </c>
      <c r="BN92" s="1" t="s">
        <v>2169</v>
      </c>
      <c r="BX92" s="1" t="s">
        <v>733</v>
      </c>
    </row>
    <row r="93" spans="2:76" x14ac:dyDescent="0.2">
      <c r="B93" s="1" t="s">
        <v>1652</v>
      </c>
      <c r="M93" s="1" t="s">
        <v>1643</v>
      </c>
      <c r="X93" s="1" t="s">
        <v>732</v>
      </c>
      <c r="AJ93" s="1" t="s">
        <v>728</v>
      </c>
      <c r="AT93" s="1" t="s">
        <v>2166</v>
      </c>
      <c r="BD93" s="1" t="s">
        <v>792</v>
      </c>
      <c r="BN93" s="1" t="s">
        <v>2168</v>
      </c>
      <c r="BX93" s="1" t="s">
        <v>792</v>
      </c>
    </row>
    <row r="94" spans="2:76" x14ac:dyDescent="0.2">
      <c r="B94" s="1" t="s">
        <v>1653</v>
      </c>
      <c r="M94" s="1" t="s">
        <v>1644</v>
      </c>
      <c r="X94" s="1" t="s">
        <v>733</v>
      </c>
      <c r="AJ94" s="1" t="s">
        <v>730</v>
      </c>
      <c r="AT94" s="1" t="s">
        <v>732</v>
      </c>
      <c r="BD94" s="1" t="s">
        <v>728</v>
      </c>
      <c r="BN94" s="1" t="s">
        <v>791</v>
      </c>
      <c r="BX94" s="1" t="s">
        <v>728</v>
      </c>
    </row>
    <row r="95" spans="2:76" x14ac:dyDescent="0.2">
      <c r="B95" s="1" t="s">
        <v>1654</v>
      </c>
      <c r="M95" s="1" t="s">
        <v>1648</v>
      </c>
      <c r="X95" s="1" t="s">
        <v>2169</v>
      </c>
      <c r="AJ95" s="1" t="s">
        <v>790</v>
      </c>
      <c r="AT95" s="1" t="s">
        <v>731</v>
      </c>
      <c r="BD95" s="1" t="s">
        <v>730</v>
      </c>
      <c r="BN95" s="1" t="s">
        <v>733</v>
      </c>
      <c r="BX95" s="1" t="s">
        <v>730</v>
      </c>
    </row>
    <row r="96" spans="2:76" x14ac:dyDescent="0.2">
      <c r="B96" s="1" t="s">
        <v>1655</v>
      </c>
      <c r="M96" s="1" t="s">
        <v>1646</v>
      </c>
      <c r="X96" s="1" t="s">
        <v>2170</v>
      </c>
      <c r="AJ96" s="1" t="s">
        <v>729</v>
      </c>
      <c r="AT96" s="1" t="s">
        <v>2707</v>
      </c>
      <c r="BD96" s="1" t="s">
        <v>790</v>
      </c>
      <c r="BN96" s="1" t="s">
        <v>2930</v>
      </c>
      <c r="BX96" s="1" t="s">
        <v>790</v>
      </c>
    </row>
    <row r="97" spans="2:76" x14ac:dyDescent="0.2">
      <c r="B97" s="1" t="s">
        <v>1656</v>
      </c>
      <c r="M97" s="1" t="s">
        <v>1651</v>
      </c>
      <c r="X97" s="1" t="s">
        <v>2171</v>
      </c>
      <c r="AT97" s="1" t="s">
        <v>2708</v>
      </c>
      <c r="BD97" s="1" t="s">
        <v>729</v>
      </c>
      <c r="BN97" s="1" t="s">
        <v>2931</v>
      </c>
      <c r="BX97" s="1" t="s">
        <v>729</v>
      </c>
    </row>
    <row r="98" spans="2:76" x14ac:dyDescent="0.2">
      <c r="B98" s="1" t="s">
        <v>1657</v>
      </c>
      <c r="M98" s="1" t="s">
        <v>1649</v>
      </c>
      <c r="AJ98" s="2" t="s">
        <v>2536</v>
      </c>
    </row>
    <row r="99" spans="2:76" x14ac:dyDescent="0.2">
      <c r="B99" s="1" t="s">
        <v>1658</v>
      </c>
      <c r="M99" s="1" t="s">
        <v>1715</v>
      </c>
      <c r="X99" s="2" t="s">
        <v>2536</v>
      </c>
      <c r="AJ99" s="1" t="s">
        <v>735</v>
      </c>
      <c r="AT99" s="2" t="s">
        <v>2709</v>
      </c>
      <c r="BD99" s="2" t="s">
        <v>2709</v>
      </c>
      <c r="BN99" s="2" t="s">
        <v>2932</v>
      </c>
      <c r="BX99" s="2" t="s">
        <v>2932</v>
      </c>
    </row>
    <row r="100" spans="2:76" x14ac:dyDescent="0.2">
      <c r="B100" s="1" t="s">
        <v>1659</v>
      </c>
      <c r="M100" s="1" t="s">
        <v>1647</v>
      </c>
      <c r="X100" s="1" t="s">
        <v>736</v>
      </c>
      <c r="AJ100" s="1" t="s">
        <v>736</v>
      </c>
      <c r="AT100" s="1" t="s">
        <v>735</v>
      </c>
      <c r="BD100" s="1" t="s">
        <v>2721</v>
      </c>
      <c r="BN100" s="1" t="s">
        <v>736</v>
      </c>
      <c r="BX100" s="1" t="s">
        <v>735</v>
      </c>
    </row>
    <row r="101" spans="2:76" x14ac:dyDescent="0.2">
      <c r="B101" s="1" t="s">
        <v>1660</v>
      </c>
      <c r="M101" s="1" t="s">
        <v>1645</v>
      </c>
      <c r="X101" s="1" t="s">
        <v>735</v>
      </c>
      <c r="AJ101" s="1" t="s">
        <v>739</v>
      </c>
      <c r="AT101" s="1" t="s">
        <v>736</v>
      </c>
      <c r="BD101" s="1" t="s">
        <v>736</v>
      </c>
      <c r="BN101" s="1" t="s">
        <v>735</v>
      </c>
      <c r="BX101" s="1" t="s">
        <v>736</v>
      </c>
    </row>
    <row r="102" spans="2:76" x14ac:dyDescent="0.2">
      <c r="B102" s="1" t="s">
        <v>1661</v>
      </c>
      <c r="M102" s="2" t="s">
        <v>1716</v>
      </c>
      <c r="X102" s="1" t="s">
        <v>740</v>
      </c>
      <c r="AJ102" s="1" t="s">
        <v>741</v>
      </c>
      <c r="AT102" s="1" t="s">
        <v>740</v>
      </c>
      <c r="BD102" s="1" t="s">
        <v>739</v>
      </c>
      <c r="BN102" s="1" t="s">
        <v>2172</v>
      </c>
      <c r="BX102" s="1" t="s">
        <v>739</v>
      </c>
    </row>
    <row r="103" spans="2:76" x14ac:dyDescent="0.2">
      <c r="B103" s="1" t="s">
        <v>1662</v>
      </c>
      <c r="M103" s="1" t="s">
        <v>1652</v>
      </c>
      <c r="X103" s="1" t="s">
        <v>738</v>
      </c>
      <c r="AJ103" s="1" t="s">
        <v>793</v>
      </c>
      <c r="AT103" s="1" t="s">
        <v>2710</v>
      </c>
      <c r="BD103" s="1" t="s">
        <v>741</v>
      </c>
      <c r="BN103" s="1" t="s">
        <v>2711</v>
      </c>
      <c r="BX103" s="1" t="s">
        <v>741</v>
      </c>
    </row>
    <row r="104" spans="2:76" x14ac:dyDescent="0.2">
      <c r="B104" s="1" t="s">
        <v>1663</v>
      </c>
      <c r="M104" s="1" t="s">
        <v>1656</v>
      </c>
      <c r="X104" s="1" t="s">
        <v>2172</v>
      </c>
      <c r="AJ104" s="1" t="s">
        <v>738</v>
      </c>
      <c r="AT104" s="1" t="s">
        <v>742</v>
      </c>
      <c r="BD104" s="1" t="s">
        <v>793</v>
      </c>
      <c r="BN104" s="1" t="s">
        <v>742</v>
      </c>
      <c r="BX104" s="1" t="s">
        <v>793</v>
      </c>
    </row>
    <row r="105" spans="2:76" x14ac:dyDescent="0.2">
      <c r="B105" s="1" t="s">
        <v>1664</v>
      </c>
      <c r="M105" s="1" t="s">
        <v>1654</v>
      </c>
      <c r="X105" s="1" t="s">
        <v>793</v>
      </c>
      <c r="AJ105" s="1" t="s">
        <v>737</v>
      </c>
      <c r="AT105" s="1" t="s">
        <v>738</v>
      </c>
      <c r="BD105" s="1" t="s">
        <v>738</v>
      </c>
      <c r="BN105" s="1" t="s">
        <v>2933</v>
      </c>
      <c r="BX105" s="1" t="s">
        <v>738</v>
      </c>
    </row>
    <row r="106" spans="2:76" x14ac:dyDescent="0.2">
      <c r="B106" s="1" t="s">
        <v>1665</v>
      </c>
      <c r="M106" s="1" t="s">
        <v>1658</v>
      </c>
      <c r="X106" s="1" t="s">
        <v>741</v>
      </c>
      <c r="AJ106" s="1" t="s">
        <v>742</v>
      </c>
      <c r="AT106" s="1" t="s">
        <v>2172</v>
      </c>
      <c r="BD106" s="1" t="s">
        <v>737</v>
      </c>
      <c r="BN106" s="1" t="s">
        <v>793</v>
      </c>
      <c r="BX106" s="1" t="s">
        <v>737</v>
      </c>
    </row>
    <row r="107" spans="2:76" x14ac:dyDescent="0.2">
      <c r="B107" s="1" t="s">
        <v>1666</v>
      </c>
      <c r="M107" s="1" t="s">
        <v>1655</v>
      </c>
      <c r="X107" s="1" t="s">
        <v>739</v>
      </c>
      <c r="AJ107" s="1" t="s">
        <v>743</v>
      </c>
      <c r="AT107" s="1" t="s">
        <v>737</v>
      </c>
      <c r="BD107" s="1" t="s">
        <v>742</v>
      </c>
      <c r="BN107" s="1" t="s">
        <v>2712</v>
      </c>
      <c r="BX107" s="1" t="s">
        <v>742</v>
      </c>
    </row>
    <row r="108" spans="2:76" x14ac:dyDescent="0.2">
      <c r="B108" s="1" t="s">
        <v>1667</v>
      </c>
      <c r="M108" s="1" t="s">
        <v>1653</v>
      </c>
      <c r="X108" s="1" t="s">
        <v>742</v>
      </c>
      <c r="AJ108" s="1" t="s">
        <v>740</v>
      </c>
      <c r="AT108" s="1" t="s">
        <v>2711</v>
      </c>
      <c r="BD108" s="1" t="s">
        <v>743</v>
      </c>
      <c r="BN108" s="1" t="s">
        <v>2934</v>
      </c>
      <c r="BX108" s="1" t="s">
        <v>743</v>
      </c>
    </row>
    <row r="109" spans="2:76" x14ac:dyDescent="0.2">
      <c r="B109" s="1" t="s">
        <v>1668</v>
      </c>
      <c r="M109" s="1" t="s">
        <v>1657</v>
      </c>
      <c r="X109" s="1" t="s">
        <v>737</v>
      </c>
      <c r="AT109" s="1" t="s">
        <v>2712</v>
      </c>
      <c r="BD109" s="1" t="s">
        <v>740</v>
      </c>
      <c r="BN109" s="1" t="s">
        <v>2935</v>
      </c>
      <c r="BX109" s="1" t="s">
        <v>740</v>
      </c>
    </row>
    <row r="110" spans="2:76" x14ac:dyDescent="0.2">
      <c r="B110" s="1" t="s">
        <v>1669</v>
      </c>
      <c r="M110" s="1" t="s">
        <v>1717</v>
      </c>
      <c r="AJ110" s="2" t="s">
        <v>2537</v>
      </c>
    </row>
    <row r="111" spans="2:76" x14ac:dyDescent="0.2">
      <c r="B111" s="1" t="s">
        <v>1670</v>
      </c>
      <c r="M111" s="1" t="s">
        <v>1718</v>
      </c>
      <c r="X111" s="2" t="s">
        <v>2537</v>
      </c>
      <c r="AJ111" s="1" t="s">
        <v>744</v>
      </c>
      <c r="AT111" s="2" t="s">
        <v>2713</v>
      </c>
      <c r="BD111" s="2" t="s">
        <v>2713</v>
      </c>
      <c r="BN111" s="2" t="s">
        <v>2936</v>
      </c>
      <c r="BX111" s="2" t="s">
        <v>2936</v>
      </c>
    </row>
    <row r="112" spans="2:76" x14ac:dyDescent="0.2">
      <c r="B112" s="1" t="s">
        <v>1671</v>
      </c>
      <c r="M112" s="1" t="s">
        <v>1719</v>
      </c>
      <c r="X112" s="1" t="s">
        <v>744</v>
      </c>
      <c r="AJ112" s="1" t="s">
        <v>749</v>
      </c>
      <c r="AT112" s="1" t="s">
        <v>744</v>
      </c>
      <c r="BD112" s="1" t="s">
        <v>744</v>
      </c>
      <c r="BN112" s="1" t="s">
        <v>744</v>
      </c>
      <c r="BX112" s="1" t="s">
        <v>744</v>
      </c>
    </row>
    <row r="113" spans="2:76" x14ac:dyDescent="0.2">
      <c r="B113" s="1" t="s">
        <v>1672</v>
      </c>
      <c r="M113" s="2" t="s">
        <v>1720</v>
      </c>
      <c r="X113" s="1" t="s">
        <v>750</v>
      </c>
      <c r="AJ113" s="1" t="s">
        <v>750</v>
      </c>
      <c r="AT113" s="1" t="s">
        <v>745</v>
      </c>
      <c r="BD113" s="1" t="s">
        <v>749</v>
      </c>
      <c r="BN113" s="1" t="s">
        <v>747</v>
      </c>
      <c r="BX113" s="1" t="s">
        <v>749</v>
      </c>
    </row>
    <row r="114" spans="2:76" x14ac:dyDescent="0.2">
      <c r="B114" s="1" t="s">
        <v>1673</v>
      </c>
      <c r="M114" s="1" t="s">
        <v>1662</v>
      </c>
      <c r="X114" s="1" t="s">
        <v>745</v>
      </c>
      <c r="AJ114" s="1" t="s">
        <v>746</v>
      </c>
      <c r="AT114" s="1" t="s">
        <v>2174</v>
      </c>
      <c r="BD114" s="1" t="s">
        <v>750</v>
      </c>
      <c r="BN114" s="1" t="s">
        <v>2173</v>
      </c>
      <c r="BX114" s="1" t="s">
        <v>750</v>
      </c>
    </row>
    <row r="115" spans="2:76" x14ac:dyDescent="0.2">
      <c r="B115" s="1" t="s">
        <v>1674</v>
      </c>
      <c r="M115" s="1" t="s">
        <v>1721</v>
      </c>
      <c r="X115" s="1" t="s">
        <v>2174</v>
      </c>
      <c r="AJ115" s="1" t="s">
        <v>747</v>
      </c>
      <c r="AT115" s="1" t="s">
        <v>2176</v>
      </c>
      <c r="BD115" s="1" t="s">
        <v>746</v>
      </c>
      <c r="BN115" s="1" t="s">
        <v>750</v>
      </c>
      <c r="BX115" s="1" t="s">
        <v>746</v>
      </c>
    </row>
    <row r="116" spans="2:76" x14ac:dyDescent="0.2">
      <c r="B116" s="1" t="s">
        <v>1675</v>
      </c>
      <c r="M116" s="1" t="s">
        <v>1722</v>
      </c>
      <c r="X116" s="1" t="s">
        <v>749</v>
      </c>
      <c r="AJ116" s="1" t="s">
        <v>748</v>
      </c>
      <c r="AT116" s="1" t="s">
        <v>2173</v>
      </c>
      <c r="BD116" s="1" t="s">
        <v>747</v>
      </c>
      <c r="BN116" s="1" t="s">
        <v>2175</v>
      </c>
      <c r="BX116" s="1" t="s">
        <v>747</v>
      </c>
    </row>
    <row r="117" spans="2:76" x14ac:dyDescent="0.2">
      <c r="B117" s="1" t="s">
        <v>1676</v>
      </c>
      <c r="M117" s="1" t="s">
        <v>1664</v>
      </c>
      <c r="X117" s="1" t="s">
        <v>747</v>
      </c>
      <c r="AJ117" s="1" t="s">
        <v>745</v>
      </c>
      <c r="AT117" s="1" t="s">
        <v>750</v>
      </c>
      <c r="BD117" s="1" t="s">
        <v>748</v>
      </c>
      <c r="BN117" s="1" t="s">
        <v>746</v>
      </c>
      <c r="BX117" s="1" t="s">
        <v>748</v>
      </c>
    </row>
    <row r="118" spans="2:76" x14ac:dyDescent="0.2">
      <c r="B118" s="1" t="s">
        <v>1677</v>
      </c>
      <c r="M118" s="1" t="s">
        <v>1666</v>
      </c>
      <c r="X118" s="1" t="s">
        <v>746</v>
      </c>
      <c r="AJ118" s="1" t="s">
        <v>2187</v>
      </c>
      <c r="AT118" s="1" t="s">
        <v>2175</v>
      </c>
      <c r="BD118" s="1" t="s">
        <v>745</v>
      </c>
      <c r="BN118" s="1" t="s">
        <v>2176</v>
      </c>
      <c r="BX118" s="1" t="s">
        <v>745</v>
      </c>
    </row>
    <row r="119" spans="2:76" x14ac:dyDescent="0.2">
      <c r="B119" s="1" t="s">
        <v>1678</v>
      </c>
      <c r="M119" s="1" t="s">
        <v>1667</v>
      </c>
      <c r="X119" s="1" t="s">
        <v>2175</v>
      </c>
      <c r="AJ119" s="1" t="s">
        <v>2188</v>
      </c>
      <c r="AT119" s="1" t="s">
        <v>746</v>
      </c>
      <c r="BD119" s="1" t="s">
        <v>2187</v>
      </c>
      <c r="BN119" s="1" t="s">
        <v>2174</v>
      </c>
      <c r="BX119" s="1" t="s">
        <v>2187</v>
      </c>
    </row>
    <row r="120" spans="2:76" x14ac:dyDescent="0.2">
      <c r="B120" s="1" t="s">
        <v>1679</v>
      </c>
      <c r="M120" s="1" t="s">
        <v>1668</v>
      </c>
      <c r="X120" s="1" t="s">
        <v>2176</v>
      </c>
      <c r="AJ120" s="1" t="s">
        <v>2189</v>
      </c>
      <c r="AT120" s="1" t="s">
        <v>747</v>
      </c>
      <c r="BD120" s="1" t="s">
        <v>2188</v>
      </c>
      <c r="BN120" s="1" t="s">
        <v>745</v>
      </c>
      <c r="BX120" s="1" t="s">
        <v>2188</v>
      </c>
    </row>
    <row r="121" spans="2:76" x14ac:dyDescent="0.2">
      <c r="B121" s="1" t="s">
        <v>1680</v>
      </c>
      <c r="M121" s="1" t="s">
        <v>1723</v>
      </c>
      <c r="X121" s="1" t="s">
        <v>2173</v>
      </c>
      <c r="AT121" s="1" t="s">
        <v>749</v>
      </c>
      <c r="BD121" s="1" t="s">
        <v>2189</v>
      </c>
      <c r="BN121" s="1" t="s">
        <v>749</v>
      </c>
      <c r="BX121" s="1" t="s">
        <v>2189</v>
      </c>
    </row>
    <row r="122" spans="2:76" x14ac:dyDescent="0.2">
      <c r="B122" s="1" t="s">
        <v>1681</v>
      </c>
      <c r="M122" s="1" t="s">
        <v>1669</v>
      </c>
      <c r="AJ122" s="2" t="s">
        <v>2538</v>
      </c>
    </row>
    <row r="123" spans="2:76" x14ac:dyDescent="0.2">
      <c r="B123" s="1" t="s">
        <v>1561</v>
      </c>
      <c r="M123" s="1" t="s">
        <v>1670</v>
      </c>
      <c r="X123" s="2" t="s">
        <v>2538</v>
      </c>
      <c r="AJ123" s="1" t="s">
        <v>751</v>
      </c>
      <c r="AT123" s="2" t="s">
        <v>2714</v>
      </c>
      <c r="BD123" s="2" t="s">
        <v>2714</v>
      </c>
      <c r="BN123" s="2" t="s">
        <v>2937</v>
      </c>
      <c r="BX123" s="2" t="s">
        <v>2937</v>
      </c>
    </row>
    <row r="124" spans="2:76" x14ac:dyDescent="0.2">
      <c r="B124" s="1"/>
      <c r="M124" s="2" t="s">
        <v>1724</v>
      </c>
      <c r="X124" s="1" t="s">
        <v>751</v>
      </c>
      <c r="AJ124" s="1" t="s">
        <v>2190</v>
      </c>
      <c r="AT124" s="1" t="s">
        <v>751</v>
      </c>
      <c r="BD124" s="1" t="s">
        <v>751</v>
      </c>
      <c r="BN124" s="1" t="s">
        <v>751</v>
      </c>
      <c r="BX124" s="1" t="s">
        <v>751</v>
      </c>
    </row>
    <row r="125" spans="2:76" x14ac:dyDescent="0.2">
      <c r="B125" s="1"/>
      <c r="M125" s="1" t="s">
        <v>1673</v>
      </c>
      <c r="X125" s="1" t="s">
        <v>752</v>
      </c>
      <c r="AJ125" s="1" t="s">
        <v>794</v>
      </c>
      <c r="AT125" s="1" t="s">
        <v>2715</v>
      </c>
      <c r="BD125" s="1" t="s">
        <v>2190</v>
      </c>
      <c r="BN125" s="1" t="s">
        <v>2938</v>
      </c>
      <c r="BX125" s="1" t="s">
        <v>2190</v>
      </c>
    </row>
    <row r="126" spans="2:76" x14ac:dyDescent="0.2">
      <c r="B126" s="1"/>
      <c r="M126" s="1" t="s">
        <v>1677</v>
      </c>
      <c r="X126" s="1" t="s">
        <v>2177</v>
      </c>
      <c r="AJ126" s="1" t="s">
        <v>753</v>
      </c>
      <c r="AT126" s="1" t="s">
        <v>794</v>
      </c>
      <c r="BD126" s="1" t="s">
        <v>794</v>
      </c>
      <c r="BN126" s="1" t="s">
        <v>794</v>
      </c>
      <c r="BX126" s="1" t="s">
        <v>794</v>
      </c>
    </row>
    <row r="127" spans="2:76" x14ac:dyDescent="0.2">
      <c r="B127" s="1"/>
      <c r="M127" s="1" t="s">
        <v>1725</v>
      </c>
      <c r="X127" s="1" t="s">
        <v>753</v>
      </c>
      <c r="AJ127" s="1" t="s">
        <v>754</v>
      </c>
      <c r="AT127" s="1" t="s">
        <v>2177</v>
      </c>
      <c r="BD127" s="1" t="s">
        <v>753</v>
      </c>
      <c r="BN127" s="1" t="s">
        <v>2177</v>
      </c>
      <c r="BX127" s="1" t="s">
        <v>753</v>
      </c>
    </row>
    <row r="128" spans="2:76" x14ac:dyDescent="0.2">
      <c r="B128" s="1"/>
      <c r="M128" s="1" t="s">
        <v>1726</v>
      </c>
      <c r="X128" s="1" t="s">
        <v>754</v>
      </c>
      <c r="AJ128" s="1" t="s">
        <v>755</v>
      </c>
      <c r="AT128" s="1" t="s">
        <v>2716</v>
      </c>
      <c r="BD128" s="1" t="s">
        <v>754</v>
      </c>
      <c r="BN128" s="1" t="s">
        <v>2939</v>
      </c>
      <c r="BX128" s="1" t="s">
        <v>754</v>
      </c>
    </row>
    <row r="129" spans="2:76" x14ac:dyDescent="0.2">
      <c r="B129" s="1"/>
      <c r="M129" s="1" t="s">
        <v>1727</v>
      </c>
      <c r="X129" s="1" t="s">
        <v>795</v>
      </c>
      <c r="AJ129" s="1" t="s">
        <v>757</v>
      </c>
      <c r="AT129" s="1" t="s">
        <v>753</v>
      </c>
      <c r="BD129" s="1" t="s">
        <v>755</v>
      </c>
      <c r="BN129" s="1" t="s">
        <v>753</v>
      </c>
      <c r="BX129" s="1" t="s">
        <v>755</v>
      </c>
    </row>
    <row r="130" spans="2:76" x14ac:dyDescent="0.2">
      <c r="B130" s="1"/>
      <c r="M130" s="1" t="s">
        <v>1728</v>
      </c>
      <c r="X130" s="1" t="s">
        <v>756</v>
      </c>
      <c r="AJ130" s="1" t="s">
        <v>758</v>
      </c>
      <c r="AT130" s="1" t="s">
        <v>754</v>
      </c>
      <c r="BD130" s="1" t="s">
        <v>757</v>
      </c>
      <c r="BN130" s="1" t="s">
        <v>754</v>
      </c>
      <c r="BX130" s="1" t="s">
        <v>757</v>
      </c>
    </row>
    <row r="131" spans="2:76" x14ac:dyDescent="0.2">
      <c r="B131" s="1"/>
      <c r="M131" s="1" t="s">
        <v>1729</v>
      </c>
      <c r="X131" s="1" t="s">
        <v>757</v>
      </c>
      <c r="AJ131" s="1" t="s">
        <v>759</v>
      </c>
      <c r="AT131" s="1" t="s">
        <v>2717</v>
      </c>
      <c r="BD131" s="1" t="s">
        <v>758</v>
      </c>
      <c r="BN131" s="1" t="s">
        <v>2717</v>
      </c>
      <c r="BX131" s="1" t="s">
        <v>758</v>
      </c>
    </row>
    <row r="132" spans="2:76" x14ac:dyDescent="0.2">
      <c r="B132" s="1"/>
      <c r="M132" s="1" t="s">
        <v>1676</v>
      </c>
      <c r="X132" s="1" t="s">
        <v>758</v>
      </c>
      <c r="AJ132" s="1" t="s">
        <v>760</v>
      </c>
      <c r="AT132" s="1" t="s">
        <v>755</v>
      </c>
      <c r="BD132" s="1" t="s">
        <v>759</v>
      </c>
      <c r="BN132" s="1" t="s">
        <v>755</v>
      </c>
      <c r="BX132" s="1" t="s">
        <v>759</v>
      </c>
    </row>
    <row r="133" spans="2:76" x14ac:dyDescent="0.2">
      <c r="B133" s="1"/>
      <c r="M133" s="1" t="s">
        <v>1674</v>
      </c>
      <c r="X133" s="1" t="s">
        <v>759</v>
      </c>
      <c r="AT133" s="1" t="s">
        <v>756</v>
      </c>
      <c r="BD133" s="1" t="s">
        <v>760</v>
      </c>
      <c r="BN133" s="1" t="s">
        <v>756</v>
      </c>
      <c r="BX133" s="1" t="s">
        <v>760</v>
      </c>
    </row>
    <row r="134" spans="2:76" x14ac:dyDescent="0.2">
      <c r="B134" s="1"/>
      <c r="M134" s="1" t="s">
        <v>1680</v>
      </c>
      <c r="AJ134" s="1" t="s">
        <v>2542</v>
      </c>
    </row>
    <row r="135" spans="2:76" x14ac:dyDescent="0.2">
      <c r="M135" s="1" t="s">
        <v>1561</v>
      </c>
      <c r="X135" s="2" t="s">
        <v>2539</v>
      </c>
      <c r="AJ135" s="1" t="s">
        <v>2543</v>
      </c>
      <c r="AT135" s="2" t="s">
        <v>2718</v>
      </c>
      <c r="BD135" s="2" t="s">
        <v>2718</v>
      </c>
      <c r="BN135" s="2" t="s">
        <v>2940</v>
      </c>
      <c r="BX135" s="2" t="s">
        <v>2940</v>
      </c>
    </row>
    <row r="136" spans="2:76" x14ac:dyDescent="0.2">
      <c r="X136" s="1" t="s">
        <v>763</v>
      </c>
      <c r="AJ136" s="1" t="s">
        <v>2544</v>
      </c>
      <c r="AT136" s="1" t="s">
        <v>762</v>
      </c>
      <c r="BD136" s="1" t="s">
        <v>2178</v>
      </c>
      <c r="BN136" s="1" t="s">
        <v>763</v>
      </c>
      <c r="BX136" s="1" t="s">
        <v>2178</v>
      </c>
    </row>
    <row r="137" spans="2:76" x14ac:dyDescent="0.2">
      <c r="M137" s="2"/>
      <c r="X137" s="1" t="s">
        <v>766</v>
      </c>
      <c r="AJ137" s="1" t="s">
        <v>2545</v>
      </c>
      <c r="AT137" s="1" t="s">
        <v>2719</v>
      </c>
      <c r="BD137" s="1" t="s">
        <v>2179</v>
      </c>
      <c r="BN137" s="1" t="s">
        <v>761</v>
      </c>
      <c r="BX137" s="1" t="s">
        <v>2179</v>
      </c>
    </row>
    <row r="138" spans="2:76" x14ac:dyDescent="0.2">
      <c r="M138" s="1"/>
      <c r="X138" s="1" t="s">
        <v>2178</v>
      </c>
      <c r="AJ138" s="1" t="s">
        <v>2546</v>
      </c>
      <c r="AT138" s="1" t="s">
        <v>2181</v>
      </c>
      <c r="BD138" s="1" t="s">
        <v>769</v>
      </c>
      <c r="BN138" s="1" t="s">
        <v>2179</v>
      </c>
      <c r="BX138" s="1" t="s">
        <v>769</v>
      </c>
    </row>
    <row r="139" spans="2:76" x14ac:dyDescent="0.2">
      <c r="M139" s="1"/>
      <c r="X139" s="1" t="s">
        <v>2179</v>
      </c>
      <c r="AJ139" s="1" t="s">
        <v>2547</v>
      </c>
      <c r="AT139" s="1" t="s">
        <v>796</v>
      </c>
      <c r="BD139" s="1" t="s">
        <v>2191</v>
      </c>
      <c r="BN139" s="1" t="s">
        <v>2180</v>
      </c>
      <c r="BX139" s="1" t="s">
        <v>2191</v>
      </c>
    </row>
    <row r="140" spans="2:76" x14ac:dyDescent="0.2">
      <c r="M140" s="1"/>
      <c r="X140" s="1" t="s">
        <v>2180</v>
      </c>
      <c r="AJ140" s="1" t="s">
        <v>2548</v>
      </c>
      <c r="AT140" s="1" t="s">
        <v>2180</v>
      </c>
      <c r="BD140" s="1" t="s">
        <v>767</v>
      </c>
      <c r="BN140" s="1" t="s">
        <v>2181</v>
      </c>
      <c r="BX140" s="1" t="s">
        <v>767</v>
      </c>
    </row>
    <row r="141" spans="2:76" x14ac:dyDescent="0.2">
      <c r="M141" s="1"/>
      <c r="X141" s="1" t="s">
        <v>2181</v>
      </c>
      <c r="AJ141" s="1" t="s">
        <v>2549</v>
      </c>
      <c r="AT141" s="1" t="s">
        <v>2179</v>
      </c>
      <c r="BD141" s="1" t="s">
        <v>2181</v>
      </c>
      <c r="BN141" s="1" t="s">
        <v>2182</v>
      </c>
      <c r="BX141" s="1" t="s">
        <v>2181</v>
      </c>
    </row>
    <row r="142" spans="2:76" x14ac:dyDescent="0.2">
      <c r="M142" s="1"/>
      <c r="X142" s="1" t="s">
        <v>2182</v>
      </c>
      <c r="AJ142" s="1" t="s">
        <v>2550</v>
      </c>
      <c r="AT142" s="1" t="s">
        <v>2178</v>
      </c>
      <c r="BD142" s="1" t="s">
        <v>2182</v>
      </c>
      <c r="BN142" s="1" t="s">
        <v>797</v>
      </c>
      <c r="BX142" s="1" t="s">
        <v>2182</v>
      </c>
    </row>
    <row r="143" spans="2:76" x14ac:dyDescent="0.2">
      <c r="M143" s="1"/>
      <c r="X143" s="1" t="s">
        <v>797</v>
      </c>
      <c r="AJ143" s="1" t="s">
        <v>2551</v>
      </c>
      <c r="AT143" s="1" t="s">
        <v>769</v>
      </c>
      <c r="BD143" s="1" t="s">
        <v>797</v>
      </c>
      <c r="BN143" s="1" t="s">
        <v>796</v>
      </c>
      <c r="BX143" s="1" t="s">
        <v>797</v>
      </c>
    </row>
    <row r="144" spans="2:76" x14ac:dyDescent="0.2">
      <c r="M144" s="1"/>
      <c r="X144" s="1" t="s">
        <v>796</v>
      </c>
      <c r="AJ144" s="1" t="s">
        <v>132</v>
      </c>
      <c r="AT144" s="1" t="s">
        <v>768</v>
      </c>
      <c r="BD144" s="1" t="s">
        <v>765</v>
      </c>
      <c r="BN144" s="1" t="s">
        <v>768</v>
      </c>
      <c r="BX144" s="1" t="s">
        <v>765</v>
      </c>
    </row>
    <row r="145" spans="13:76" x14ac:dyDescent="0.2">
      <c r="M145" s="1"/>
      <c r="X145" s="1" t="s">
        <v>768</v>
      </c>
      <c r="AT145" s="1" t="s">
        <v>766</v>
      </c>
      <c r="BD145" s="1" t="s">
        <v>764</v>
      </c>
      <c r="BN145" s="1" t="s">
        <v>766</v>
      </c>
      <c r="BX145" s="1" t="s">
        <v>764</v>
      </c>
    </row>
    <row r="146" spans="13:76" x14ac:dyDescent="0.2">
      <c r="M146" s="1"/>
      <c r="X146" s="1" t="s">
        <v>132</v>
      </c>
      <c r="AT146" s="1" t="s">
        <v>132</v>
      </c>
      <c r="BD146" s="1" t="s">
        <v>132</v>
      </c>
      <c r="BN146" s="1" t="s">
        <v>132</v>
      </c>
      <c r="BX146" s="1" t="s">
        <v>132</v>
      </c>
    </row>
    <row r="147" spans="13:76" x14ac:dyDescent="0.2">
      <c r="M147" s="1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07C4-E140-0B43-BD83-50A5DAB191D1}">
  <dimension ref="C1:CF171"/>
  <sheetViews>
    <sheetView topLeftCell="BV1" workbookViewId="0">
      <selection activeCell="CD21" sqref="CD16:CD21"/>
    </sheetView>
  </sheetViews>
  <sheetFormatPr baseColWidth="10" defaultRowHeight="16" x14ac:dyDescent="0.2"/>
  <cols>
    <col min="9" max="9" width="23.6640625" bestFit="1" customWidth="1"/>
    <col min="10" max="10" width="20" bestFit="1" customWidth="1"/>
    <col min="11" max="11" width="12.1640625" bestFit="1" customWidth="1"/>
    <col min="22" max="22" width="19.1640625" bestFit="1" customWidth="1"/>
    <col min="23" max="23" width="12.1640625" bestFit="1" customWidth="1"/>
    <col min="31" max="31" width="23.6640625" bestFit="1" customWidth="1"/>
    <col min="32" max="32" width="12.1640625" customWidth="1"/>
  </cols>
  <sheetData>
    <row r="1" spans="3:84" x14ac:dyDescent="0.2">
      <c r="C1" s="1" t="s">
        <v>1730</v>
      </c>
      <c r="J1" t="s">
        <v>770</v>
      </c>
      <c r="K1">
        <v>0.03</v>
      </c>
      <c r="N1" s="1" t="s">
        <v>1862</v>
      </c>
      <c r="AS1" s="20" t="s">
        <v>2648</v>
      </c>
      <c r="BM1" s="20" t="s">
        <v>2875</v>
      </c>
    </row>
    <row r="2" spans="3:84" x14ac:dyDescent="0.2">
      <c r="C2" s="2" t="s">
        <v>1731</v>
      </c>
      <c r="N2" s="1" t="s">
        <v>1863</v>
      </c>
      <c r="Y2" s="1" t="s">
        <v>2585</v>
      </c>
      <c r="AI2" s="1" t="s">
        <v>2597</v>
      </c>
      <c r="AP2" s="6" t="s">
        <v>201</v>
      </c>
      <c r="AS2" s="1" t="s">
        <v>2585</v>
      </c>
      <c r="AZ2" s="6" t="s">
        <v>201</v>
      </c>
      <c r="BC2" s="1" t="s">
        <v>2597</v>
      </c>
      <c r="BJ2" s="6" t="s">
        <v>201</v>
      </c>
      <c r="BM2" s="1" t="s">
        <v>2941</v>
      </c>
      <c r="BU2">
        <v>100</v>
      </c>
      <c r="BW2" s="1" t="s">
        <v>2967</v>
      </c>
      <c r="CE2">
        <v>100</v>
      </c>
    </row>
    <row r="3" spans="3:84" x14ac:dyDescent="0.2">
      <c r="C3" s="1" t="s">
        <v>1732</v>
      </c>
      <c r="N3" s="1" t="s">
        <v>1864</v>
      </c>
      <c r="Y3" s="2" t="s">
        <v>2586</v>
      </c>
      <c r="AF3" s="6" t="s">
        <v>201</v>
      </c>
      <c r="AI3" s="2" t="s">
        <v>2586</v>
      </c>
      <c r="AQ3">
        <v>100</v>
      </c>
      <c r="AS3" s="2" t="s">
        <v>2586</v>
      </c>
      <c r="BA3">
        <v>100</v>
      </c>
      <c r="BC3" s="2" t="s">
        <v>2586</v>
      </c>
      <c r="BK3">
        <v>100</v>
      </c>
      <c r="BM3" s="2" t="s">
        <v>2942</v>
      </c>
      <c r="BT3" s="19">
        <v>-1.72E-2</v>
      </c>
      <c r="BU3">
        <f>BU2*(1+BT3)</f>
        <v>98.28</v>
      </c>
      <c r="BV3" s="5">
        <f>BT3</f>
        <v>-1.72E-2</v>
      </c>
      <c r="BW3" s="2" t="s">
        <v>2942</v>
      </c>
      <c r="CD3" s="19">
        <v>-9.4000000000000004E-3</v>
      </c>
      <c r="CE3">
        <f>CE2*(1+CD3)</f>
        <v>99.06</v>
      </c>
      <c r="CF3" s="5">
        <f>CD3</f>
        <v>-9.4000000000000004E-3</v>
      </c>
    </row>
    <row r="4" spans="3:84" x14ac:dyDescent="0.2">
      <c r="C4" s="1" t="s">
        <v>1733</v>
      </c>
      <c r="N4" s="1" t="s">
        <v>1865</v>
      </c>
      <c r="Y4" s="1" t="s">
        <v>322</v>
      </c>
      <c r="AG4">
        <v>100</v>
      </c>
      <c r="AI4" s="1" t="s">
        <v>322</v>
      </c>
      <c r="AP4" s="19">
        <v>-9.4000000000000004E-3</v>
      </c>
      <c r="AQ4">
        <f>AQ3*(1+AP4)</f>
        <v>99.06</v>
      </c>
      <c r="AR4" s="5">
        <f>AP4</f>
        <v>-9.4000000000000004E-3</v>
      </c>
      <c r="AS4" s="1" t="s">
        <v>322</v>
      </c>
      <c r="AZ4" s="19">
        <v>-0.02</v>
      </c>
      <c r="BA4">
        <f>BA3*(1+AZ4)</f>
        <v>98</v>
      </c>
      <c r="BB4" s="5">
        <f>AZ4</f>
        <v>-0.02</v>
      </c>
      <c r="BC4" s="1" t="s">
        <v>322</v>
      </c>
      <c r="BJ4" s="19">
        <v>-9.4000000000000004E-3</v>
      </c>
      <c r="BK4">
        <f>BK3*(1+BJ4)</f>
        <v>99.06</v>
      </c>
      <c r="BL4" s="5">
        <f>BJ4</f>
        <v>-9.4000000000000004E-3</v>
      </c>
      <c r="BM4" s="1" t="s">
        <v>322</v>
      </c>
      <c r="BT4" s="19">
        <v>2.2700000000000001E-2</v>
      </c>
      <c r="BU4">
        <f t="shared" ref="BU4:BU14" si="0">BU3*(1+BT4)</f>
        <v>100.51095599999999</v>
      </c>
      <c r="BV4" s="5">
        <f>BT9</f>
        <v>-7.7600000000000002E-2</v>
      </c>
      <c r="BW4" s="1" t="s">
        <v>322</v>
      </c>
      <c r="CD4" s="19">
        <v>1.95E-2</v>
      </c>
      <c r="CE4">
        <f t="shared" ref="CE4:CE14" si="1">CE3*(1+CD4)</f>
        <v>100.99167000000001</v>
      </c>
      <c r="CF4" s="5">
        <f>CD9</f>
        <v>-6.6500000000000004E-2</v>
      </c>
    </row>
    <row r="5" spans="3:84" x14ac:dyDescent="0.2">
      <c r="C5" s="1" t="s">
        <v>1734</v>
      </c>
      <c r="N5" s="1" t="s">
        <v>1866</v>
      </c>
      <c r="Y5" s="1" t="s">
        <v>2192</v>
      </c>
      <c r="AF5" s="19">
        <v>-0.02</v>
      </c>
      <c r="AG5">
        <f>AG4*(1+AF5)</f>
        <v>98</v>
      </c>
      <c r="AH5" s="5">
        <f>AF5</f>
        <v>-0.02</v>
      </c>
      <c r="AI5" s="1" t="s">
        <v>2194</v>
      </c>
      <c r="AP5" s="19">
        <v>2.52E-2</v>
      </c>
      <c r="AQ5">
        <f t="shared" ref="AQ5:AQ15" si="2">AQ4*(1+AP5)</f>
        <v>101.55631199999999</v>
      </c>
      <c r="AR5" s="5">
        <f>AP10</f>
        <v>-6.6500000000000004E-2</v>
      </c>
      <c r="AS5" s="1" t="s">
        <v>2192</v>
      </c>
      <c r="AZ5" s="19">
        <v>1.0999999999999999E-2</v>
      </c>
      <c r="BA5">
        <f t="shared" ref="BA5:BA15" si="3">BA4*(1+AZ5)</f>
        <v>99.077999999999989</v>
      </c>
      <c r="BB5" s="5">
        <f>AZ10</f>
        <v>-7.17E-2</v>
      </c>
      <c r="BC5" s="1" t="s">
        <v>2194</v>
      </c>
      <c r="BJ5" s="19">
        <v>2.52E-2</v>
      </c>
      <c r="BK5">
        <f t="shared" ref="BK5:BK15" si="4">BK4*(1+BJ5)</f>
        <v>101.55631199999999</v>
      </c>
      <c r="BL5" s="5">
        <f>BJ10</f>
        <v>-6.6500000000000004E-2</v>
      </c>
      <c r="BM5" s="1" t="s">
        <v>2194</v>
      </c>
      <c r="BT5" s="19">
        <v>5.2699999999999997E-2</v>
      </c>
      <c r="BU5">
        <f t="shared" si="0"/>
        <v>105.80788338119999</v>
      </c>
      <c r="BV5" s="5">
        <f>BT12</f>
        <v>-8.8999999999999999E-3</v>
      </c>
      <c r="BW5" s="1" t="s">
        <v>2194</v>
      </c>
      <c r="CD5" s="19">
        <v>6.5100000000000005E-2</v>
      </c>
      <c r="CE5">
        <f t="shared" si="1"/>
        <v>107.566227717</v>
      </c>
      <c r="CF5" s="5">
        <f>CD12</f>
        <v>-8.3999999999999995E-3</v>
      </c>
    </row>
    <row r="6" spans="3:84" x14ac:dyDescent="0.2">
      <c r="C6" s="1" t="s">
        <v>1735</v>
      </c>
      <c r="N6" s="1" t="s">
        <v>1867</v>
      </c>
      <c r="Y6" s="1" t="s">
        <v>326</v>
      </c>
      <c r="AF6" s="19">
        <v>1.67E-2</v>
      </c>
      <c r="AG6">
        <f t="shared" ref="AG6:AG16" si="5">AG5*(1+AF6)</f>
        <v>99.636599999999987</v>
      </c>
      <c r="AH6" s="5">
        <f>AF11</f>
        <v>-7.7600000000000002E-2</v>
      </c>
      <c r="AI6" s="1" t="s">
        <v>324</v>
      </c>
      <c r="AP6" s="19">
        <v>6.5100000000000005E-2</v>
      </c>
      <c r="AQ6">
        <f t="shared" si="2"/>
        <v>108.16762791119999</v>
      </c>
      <c r="AR6" s="5">
        <f>AP13</f>
        <v>-8.3999999999999995E-3</v>
      </c>
      <c r="AS6" s="1" t="s">
        <v>326</v>
      </c>
      <c r="AZ6" s="19">
        <v>6.6199999999999995E-2</v>
      </c>
      <c r="BA6">
        <f t="shared" si="3"/>
        <v>105.63696359999999</v>
      </c>
      <c r="BB6" s="5">
        <f>AZ13</f>
        <v>-8.8999999999999999E-3</v>
      </c>
      <c r="BC6" s="1" t="s">
        <v>324</v>
      </c>
      <c r="BJ6" s="19">
        <v>6.5100000000000005E-2</v>
      </c>
      <c r="BK6">
        <f t="shared" si="4"/>
        <v>108.16762791119999</v>
      </c>
      <c r="BL6" s="5">
        <f>BJ13</f>
        <v>-8.3999999999999995E-3</v>
      </c>
      <c r="BM6" s="1" t="s">
        <v>324</v>
      </c>
      <c r="BT6" s="19">
        <v>2.86E-2</v>
      </c>
      <c r="BU6">
        <f t="shared" si="0"/>
        <v>108.8339888459023</v>
      </c>
      <c r="BV6" s="5">
        <f>BT13</f>
        <v>-6.4399999999999999E-2</v>
      </c>
      <c r="BW6" s="1" t="s">
        <v>324</v>
      </c>
      <c r="CD6" s="19">
        <v>1.46E-2</v>
      </c>
      <c r="CE6">
        <f t="shared" si="1"/>
        <v>109.1366946416682</v>
      </c>
      <c r="CF6" s="5">
        <f>CD13</f>
        <v>-4.87E-2</v>
      </c>
    </row>
    <row r="7" spans="3:84" ht="19" x14ac:dyDescent="0.2">
      <c r="C7" s="1" t="s">
        <v>1736</v>
      </c>
      <c r="I7" s="15"/>
      <c r="J7" s="4" t="s">
        <v>201</v>
      </c>
      <c r="K7" s="3" t="s">
        <v>176</v>
      </c>
      <c r="L7" s="3" t="s">
        <v>180</v>
      </c>
      <c r="M7" s="3"/>
      <c r="N7" s="1" t="s">
        <v>1868</v>
      </c>
      <c r="V7" s="6" t="s">
        <v>201</v>
      </c>
      <c r="W7" t="s">
        <v>202</v>
      </c>
      <c r="Y7" s="1" t="s">
        <v>327</v>
      </c>
      <c r="AF7" s="19">
        <v>5.2699999999999997E-2</v>
      </c>
      <c r="AG7">
        <f t="shared" si="5"/>
        <v>104.88744881999999</v>
      </c>
      <c r="AH7" s="5">
        <f>AF14</f>
        <v>-8.8999999999999999E-3</v>
      </c>
      <c r="AI7" s="1" t="s">
        <v>325</v>
      </c>
      <c r="AP7" s="19">
        <v>1.46E-2</v>
      </c>
      <c r="AQ7">
        <f t="shared" si="2"/>
        <v>109.7468752787035</v>
      </c>
      <c r="AR7" s="5">
        <f>AP14</f>
        <v>-4.87E-2</v>
      </c>
      <c r="AS7" s="1" t="s">
        <v>327</v>
      </c>
      <c r="AZ7" s="19">
        <v>1.09E-2</v>
      </c>
      <c r="BA7">
        <f t="shared" si="3"/>
        <v>106.78840650323998</v>
      </c>
      <c r="BB7" s="5">
        <f>AZ14</f>
        <v>-4.2799999999999998E-2</v>
      </c>
      <c r="BC7" s="1" t="s">
        <v>325</v>
      </c>
      <c r="BJ7" s="19">
        <v>1.46E-2</v>
      </c>
      <c r="BK7">
        <f t="shared" si="4"/>
        <v>109.7468752787035</v>
      </c>
      <c r="BL7" s="5">
        <f>BJ14</f>
        <v>-4.87E-2</v>
      </c>
      <c r="BM7" s="1" t="s">
        <v>325</v>
      </c>
      <c r="BT7" s="19">
        <v>2.0500000000000001E-2</v>
      </c>
      <c r="BU7">
        <f t="shared" si="0"/>
        <v>111.06508561724328</v>
      </c>
      <c r="BV7" s="5"/>
      <c r="BW7" s="1" t="s">
        <v>325</v>
      </c>
      <c r="CD7" s="19">
        <v>5.28E-2</v>
      </c>
      <c r="CE7">
        <f t="shared" si="1"/>
        <v>114.89911211874828</v>
      </c>
      <c r="CF7" s="5"/>
    </row>
    <row r="8" spans="3:84" x14ac:dyDescent="0.2">
      <c r="C8" s="1" t="s">
        <v>1737</v>
      </c>
      <c r="I8" s="3"/>
      <c r="J8" t="s">
        <v>1901</v>
      </c>
      <c r="K8">
        <v>100</v>
      </c>
      <c r="M8" s="3"/>
      <c r="N8" s="1" t="s">
        <v>1869</v>
      </c>
      <c r="W8">
        <v>100</v>
      </c>
      <c r="Y8" s="1" t="s">
        <v>328</v>
      </c>
      <c r="AF8" s="19">
        <v>1.06E-2</v>
      </c>
      <c r="AG8">
        <f t="shared" si="5"/>
        <v>105.99925577749198</v>
      </c>
      <c r="AH8" s="5">
        <f>AF15</f>
        <v>-4.9500000000000002E-2</v>
      </c>
      <c r="AI8" s="1" t="s">
        <v>326</v>
      </c>
      <c r="AP8" s="19">
        <v>5.28E-2</v>
      </c>
      <c r="AQ8">
        <f t="shared" si="2"/>
        <v>115.54151029341904</v>
      </c>
      <c r="AS8" s="1" t="s">
        <v>328</v>
      </c>
      <c r="AZ8" s="19">
        <v>2.0500000000000001E-2</v>
      </c>
      <c r="BA8">
        <f t="shared" si="3"/>
        <v>108.9775688365564</v>
      </c>
      <c r="BB8" s="5">
        <f>AZ11</f>
        <v>-3.5999999999999999E-3</v>
      </c>
      <c r="BC8" s="1" t="s">
        <v>326</v>
      </c>
      <c r="BJ8" s="19">
        <v>5.28E-2</v>
      </c>
      <c r="BK8">
        <f t="shared" si="4"/>
        <v>115.54151029341904</v>
      </c>
      <c r="BL8" s="5"/>
      <c r="BM8" s="1" t="s">
        <v>326</v>
      </c>
      <c r="BT8" s="19">
        <v>2.5999999999999999E-2</v>
      </c>
      <c r="BU8">
        <f t="shared" si="0"/>
        <v>113.95277784329161</v>
      </c>
      <c r="BW8" s="1" t="s">
        <v>326</v>
      </c>
      <c r="CD8" s="19">
        <v>1.37E-2</v>
      </c>
      <c r="CE8">
        <f t="shared" si="1"/>
        <v>116.47322995477514</v>
      </c>
    </row>
    <row r="9" spans="3:84" x14ac:dyDescent="0.2">
      <c r="C9" s="1" t="s">
        <v>1738</v>
      </c>
      <c r="I9" s="3"/>
      <c r="J9" s="19">
        <v>2.24E-2</v>
      </c>
      <c r="K9" s="3">
        <f>K8*(1+J9)</f>
        <v>102.24</v>
      </c>
      <c r="L9" s="11"/>
      <c r="M9" s="3"/>
      <c r="N9" s="1" t="s">
        <v>1870</v>
      </c>
      <c r="V9" s="19">
        <v>-1.72E-2</v>
      </c>
      <c r="W9">
        <f>W8*(1+V9)</f>
        <v>98.28</v>
      </c>
      <c r="X9" s="5">
        <f>V9</f>
        <v>-1.72E-2</v>
      </c>
      <c r="Y9" s="1" t="s">
        <v>329</v>
      </c>
      <c r="AF9" s="19">
        <v>2.0500000000000001E-2</v>
      </c>
      <c r="AG9">
        <f t="shared" si="5"/>
        <v>108.17224052093056</v>
      </c>
      <c r="AI9" s="1" t="s">
        <v>327</v>
      </c>
      <c r="AP9" s="19">
        <v>1.37E-2</v>
      </c>
      <c r="AQ9">
        <f t="shared" si="2"/>
        <v>117.12442898443888</v>
      </c>
      <c r="AS9" s="1" t="s">
        <v>329</v>
      </c>
      <c r="AZ9" s="19">
        <v>2.69E-2</v>
      </c>
      <c r="BA9">
        <f t="shared" si="3"/>
        <v>111.90906543825976</v>
      </c>
      <c r="BC9" s="1" t="s">
        <v>327</v>
      </c>
      <c r="BJ9" s="19">
        <v>1.37E-2</v>
      </c>
      <c r="BK9">
        <f t="shared" si="4"/>
        <v>117.12442898443888</v>
      </c>
      <c r="BM9" s="1" t="s">
        <v>327</v>
      </c>
      <c r="BT9" s="19">
        <v>-7.7600000000000002E-2</v>
      </c>
      <c r="BU9">
        <f t="shared" si="0"/>
        <v>105.11004228265219</v>
      </c>
      <c r="BW9" s="1" t="s">
        <v>327</v>
      </c>
      <c r="CD9" s="19">
        <v>-6.6500000000000004E-2</v>
      </c>
      <c r="CE9">
        <f t="shared" si="1"/>
        <v>108.72776016278259</v>
      </c>
    </row>
    <row r="10" spans="3:84" x14ac:dyDescent="0.2">
      <c r="C10" s="1" t="s">
        <v>1739</v>
      </c>
      <c r="I10" s="3"/>
      <c r="J10" s="19">
        <v>6.9099999999999995E-2</v>
      </c>
      <c r="K10" s="3">
        <f t="shared" ref="K10:K20" si="6">K9*(1+J10)</f>
        <v>109.30478399999998</v>
      </c>
      <c r="L10" s="11">
        <f>J14</f>
        <v>-6.0100000000000001E-2</v>
      </c>
      <c r="M10" s="3"/>
      <c r="N10" s="1" t="s">
        <v>1871</v>
      </c>
      <c r="V10" s="19">
        <v>3.9899999999999998E-2</v>
      </c>
      <c r="W10">
        <f t="shared" ref="W10:W20" si="7">W9*(1+V10)</f>
        <v>102.20137200000001</v>
      </c>
      <c r="X10" s="5">
        <f>V15</f>
        <v>-6.0100000000000001E-2</v>
      </c>
      <c r="Y10" s="1" t="s">
        <v>2193</v>
      </c>
      <c r="AF10" s="19">
        <v>1.7500000000000002E-2</v>
      </c>
      <c r="AG10">
        <f t="shared" si="5"/>
        <v>110.06525473004685</v>
      </c>
      <c r="AI10" s="1" t="s">
        <v>328</v>
      </c>
      <c r="AP10" s="19">
        <v>-6.6500000000000004E-2</v>
      </c>
      <c r="AQ10">
        <f t="shared" si="2"/>
        <v>109.3356544569737</v>
      </c>
      <c r="AS10" s="1" t="s">
        <v>2193</v>
      </c>
      <c r="AZ10" s="19">
        <v>-7.17E-2</v>
      </c>
      <c r="BA10">
        <f t="shared" si="3"/>
        <v>103.88518544633654</v>
      </c>
      <c r="BC10" s="1" t="s">
        <v>328</v>
      </c>
      <c r="BJ10" s="19">
        <v>-6.6500000000000004E-2</v>
      </c>
      <c r="BK10">
        <f t="shared" si="4"/>
        <v>109.3356544569737</v>
      </c>
      <c r="BM10" s="1" t="s">
        <v>328</v>
      </c>
      <c r="BT10" s="19">
        <v>-1.1999999999999999E-3</v>
      </c>
      <c r="BU10">
        <f t="shared" si="0"/>
        <v>104.983910231913</v>
      </c>
      <c r="BW10" s="1" t="s">
        <v>328</v>
      </c>
      <c r="CD10" s="19">
        <v>8.0000000000000004E-4</v>
      </c>
      <c r="CE10">
        <f t="shared" si="1"/>
        <v>108.81474237091281</v>
      </c>
    </row>
    <row r="11" spans="3:84" x14ac:dyDescent="0.2">
      <c r="C11" s="1" t="s">
        <v>1740</v>
      </c>
      <c r="I11" s="3"/>
      <c r="J11" s="19">
        <v>8.0000000000000002E-3</v>
      </c>
      <c r="K11" s="3">
        <f t="shared" si="6"/>
        <v>110.17922227199999</v>
      </c>
      <c r="L11" s="11">
        <f>J17</f>
        <v>-1.72E-2</v>
      </c>
      <c r="M11" s="3"/>
      <c r="N11" s="1" t="s">
        <v>331</v>
      </c>
      <c r="V11" s="19">
        <v>0.1336</v>
      </c>
      <c r="W11">
        <f t="shared" si="7"/>
        <v>115.85547529919999</v>
      </c>
      <c r="X11" s="5">
        <f>V18</f>
        <v>-6.4999999999999997E-3</v>
      </c>
      <c r="Y11" s="1" t="s">
        <v>2194</v>
      </c>
      <c r="AF11" s="19">
        <v>-7.7600000000000002E-2</v>
      </c>
      <c r="AG11">
        <f t="shared" si="5"/>
        <v>101.52419096299521</v>
      </c>
      <c r="AI11" s="1" t="s">
        <v>2237</v>
      </c>
      <c r="AP11" s="19">
        <v>8.0000000000000004E-4</v>
      </c>
      <c r="AQ11">
        <f t="shared" si="2"/>
        <v>109.42312298053928</v>
      </c>
      <c r="AS11" s="1" t="s">
        <v>2194</v>
      </c>
      <c r="AZ11" s="19">
        <v>-3.5999999999999999E-3</v>
      </c>
      <c r="BA11">
        <f t="shared" si="3"/>
        <v>103.51119877872972</v>
      </c>
      <c r="BC11" s="1" t="s">
        <v>2237</v>
      </c>
      <c r="BJ11" s="19">
        <v>8.0000000000000004E-4</v>
      </c>
      <c r="BK11">
        <f t="shared" si="4"/>
        <v>109.42312298053928</v>
      </c>
      <c r="BM11" s="1" t="s">
        <v>329</v>
      </c>
      <c r="BT11" s="19">
        <v>1.1000000000000001E-3</v>
      </c>
      <c r="BU11">
        <f t="shared" si="0"/>
        <v>105.09939253316811</v>
      </c>
      <c r="BW11" s="1" t="s">
        <v>2237</v>
      </c>
      <c r="CD11" s="19">
        <v>1.4500000000000001E-2</v>
      </c>
      <c r="CE11">
        <f t="shared" si="1"/>
        <v>110.39255613529104</v>
      </c>
    </row>
    <row r="12" spans="3:84" x14ac:dyDescent="0.2">
      <c r="C12" s="1" t="s">
        <v>1741</v>
      </c>
      <c r="I12" s="3"/>
      <c r="J12" s="19">
        <v>5.28E-2</v>
      </c>
      <c r="K12" s="3">
        <f t="shared" si="6"/>
        <v>115.99668520796159</v>
      </c>
      <c r="L12" s="11">
        <f>J18</f>
        <v>-7.7000000000000002E-3</v>
      </c>
      <c r="M12" s="3"/>
      <c r="N12" s="2" t="s">
        <v>1872</v>
      </c>
      <c r="V12" s="19">
        <v>1.2999999999999999E-2</v>
      </c>
      <c r="W12">
        <f t="shared" si="7"/>
        <v>117.36159647808958</v>
      </c>
      <c r="X12" s="5">
        <f>V19</f>
        <v>-3.56E-2</v>
      </c>
      <c r="Y12" s="1" t="s">
        <v>323</v>
      </c>
      <c r="AF12" s="19">
        <v>-3.5000000000000001E-3</v>
      </c>
      <c r="AG12">
        <f t="shared" si="5"/>
        <v>101.16885629462473</v>
      </c>
      <c r="AI12" s="1" t="s">
        <v>329</v>
      </c>
      <c r="AP12" s="19">
        <v>1.4500000000000001E-2</v>
      </c>
      <c r="AQ12">
        <f t="shared" si="2"/>
        <v>111.00975826375709</v>
      </c>
      <c r="AS12" s="1" t="s">
        <v>323</v>
      </c>
      <c r="AZ12" s="19">
        <v>1.1000000000000001E-3</v>
      </c>
      <c r="BA12">
        <f t="shared" si="3"/>
        <v>103.62506109738634</v>
      </c>
      <c r="BC12" s="1" t="s">
        <v>329</v>
      </c>
      <c r="BJ12" s="19">
        <v>1.4500000000000001E-2</v>
      </c>
      <c r="BK12">
        <f t="shared" si="4"/>
        <v>111.00975826375709</v>
      </c>
      <c r="BM12" s="1" t="s">
        <v>330</v>
      </c>
      <c r="BT12" s="19">
        <v>-8.8999999999999999E-3</v>
      </c>
      <c r="BU12">
        <f t="shared" si="0"/>
        <v>104.16400793962292</v>
      </c>
      <c r="BW12" s="1" t="s">
        <v>329</v>
      </c>
      <c r="CD12" s="19">
        <v>-8.3999999999999995E-3</v>
      </c>
      <c r="CE12">
        <f t="shared" si="1"/>
        <v>109.46525866375461</v>
      </c>
    </row>
    <row r="13" spans="3:84" x14ac:dyDescent="0.2">
      <c r="C13" s="2" t="s">
        <v>1742</v>
      </c>
      <c r="I13" s="3"/>
      <c r="J13" s="19">
        <v>1.37E-2</v>
      </c>
      <c r="K13" s="3">
        <f t="shared" si="6"/>
        <v>117.58583979531068</v>
      </c>
      <c r="L13" s="11">
        <f>J19</f>
        <v>-4.2000000000000003E-2</v>
      </c>
      <c r="M13" s="3"/>
      <c r="N13" s="1" t="s">
        <v>1743</v>
      </c>
      <c r="V13" s="19">
        <v>6.4999999999999997E-3</v>
      </c>
      <c r="W13">
        <f t="shared" si="7"/>
        <v>118.12444685519716</v>
      </c>
      <c r="Y13" s="1" t="s">
        <v>2195</v>
      </c>
      <c r="AF13" s="19">
        <v>1.1000000000000001E-3</v>
      </c>
      <c r="AG13">
        <f t="shared" si="5"/>
        <v>101.28014203654882</v>
      </c>
      <c r="AI13" s="1" t="s">
        <v>330</v>
      </c>
      <c r="AP13" s="19">
        <v>-8.3999999999999995E-3</v>
      </c>
      <c r="AQ13">
        <f t="shared" si="2"/>
        <v>110.07727629434153</v>
      </c>
      <c r="AS13" s="1" t="s">
        <v>2195</v>
      </c>
      <c r="AZ13" s="19">
        <v>-8.8999999999999999E-3</v>
      </c>
      <c r="BA13">
        <f t="shared" si="3"/>
        <v>102.7027980536196</v>
      </c>
      <c r="BC13" s="1" t="s">
        <v>330</v>
      </c>
      <c r="BJ13" s="19">
        <v>-8.3999999999999995E-3</v>
      </c>
      <c r="BK13">
        <f t="shared" si="4"/>
        <v>110.07727629434153</v>
      </c>
      <c r="BM13" s="1" t="s">
        <v>323</v>
      </c>
      <c r="BT13" s="19">
        <v>-6.4399999999999999E-2</v>
      </c>
      <c r="BU13">
        <f t="shared" si="0"/>
        <v>97.455845828311197</v>
      </c>
      <c r="BW13" s="1" t="s">
        <v>330</v>
      </c>
      <c r="CD13" s="19">
        <v>-4.87E-2</v>
      </c>
      <c r="CE13">
        <f t="shared" si="1"/>
        <v>104.13430056682976</v>
      </c>
    </row>
    <row r="14" spans="3:84" x14ac:dyDescent="0.2">
      <c r="C14" s="1" t="s">
        <v>1743</v>
      </c>
      <c r="I14" s="3"/>
      <c r="J14" s="19">
        <v>-6.0100000000000001E-2</v>
      </c>
      <c r="K14" s="3">
        <f t="shared" si="6"/>
        <v>110.51893082361249</v>
      </c>
      <c r="L14" s="3"/>
      <c r="M14" s="3"/>
      <c r="N14" s="1" t="s">
        <v>1873</v>
      </c>
      <c r="V14" s="19">
        <v>1.37E-2</v>
      </c>
      <c r="W14">
        <f t="shared" si="7"/>
        <v>119.74275177711337</v>
      </c>
      <c r="AF14" s="19">
        <v>-8.8999999999999999E-3</v>
      </c>
      <c r="AG14">
        <f t="shared" si="5"/>
        <v>100.37874877242353</v>
      </c>
      <c r="AP14" s="19">
        <v>-4.87E-2</v>
      </c>
      <c r="AQ14">
        <f t="shared" si="2"/>
        <v>104.7165129388071</v>
      </c>
      <c r="AZ14" s="19">
        <v>-4.2799999999999998E-2</v>
      </c>
      <c r="BA14">
        <f t="shared" si="3"/>
        <v>98.307118296924685</v>
      </c>
      <c r="BJ14" s="19">
        <v>-4.87E-2</v>
      </c>
      <c r="BK14">
        <f t="shared" si="4"/>
        <v>104.7165129388071</v>
      </c>
      <c r="BT14" s="19">
        <v>3.7600000000000001E-2</v>
      </c>
      <c r="BU14">
        <f t="shared" si="0"/>
        <v>101.12018563145571</v>
      </c>
      <c r="CD14" s="19">
        <v>3.56E-2</v>
      </c>
      <c r="CE14">
        <f t="shared" si="1"/>
        <v>107.84148166700891</v>
      </c>
    </row>
    <row r="15" spans="3:84" x14ac:dyDescent="0.2">
      <c r="C15" s="1" t="s">
        <v>1744</v>
      </c>
      <c r="I15" s="3"/>
      <c r="J15" s="19">
        <v>2.2000000000000001E-3</v>
      </c>
      <c r="K15" s="3">
        <f t="shared" si="6"/>
        <v>110.76207247142443</v>
      </c>
      <c r="L15" s="3"/>
      <c r="M15" s="3"/>
      <c r="N15" s="1" t="s">
        <v>1745</v>
      </c>
      <c r="V15" s="19">
        <v>-6.0100000000000001E-2</v>
      </c>
      <c r="W15">
        <f t="shared" si="7"/>
        <v>112.54621239530886</v>
      </c>
      <c r="Y15" s="2" t="s">
        <v>2587</v>
      </c>
      <c r="AF15" s="19">
        <v>-4.9500000000000002E-2</v>
      </c>
      <c r="AG15">
        <f t="shared" si="5"/>
        <v>95.410000708188576</v>
      </c>
      <c r="AI15" s="2" t="s">
        <v>2587</v>
      </c>
      <c r="AP15" s="19">
        <v>3.56E-2</v>
      </c>
      <c r="AQ15">
        <f t="shared" si="2"/>
        <v>108.44442079942864</v>
      </c>
      <c r="AS15" s="2" t="s">
        <v>2587</v>
      </c>
      <c r="AZ15" s="19">
        <v>3.9E-2</v>
      </c>
      <c r="BA15">
        <f t="shared" si="3"/>
        <v>102.14109591050475</v>
      </c>
      <c r="BC15" s="2" t="s">
        <v>2587</v>
      </c>
      <c r="BJ15" s="19">
        <v>3.56E-2</v>
      </c>
      <c r="BK15">
        <f t="shared" si="4"/>
        <v>108.44442079942864</v>
      </c>
      <c r="BM15" s="2" t="s">
        <v>2943</v>
      </c>
      <c r="BS15" s="8" t="s">
        <v>173</v>
      </c>
      <c r="BT15" s="5">
        <f>BU14/100 -1</f>
        <v>1.1201856314557057E-2</v>
      </c>
      <c r="BW15" s="1" t="s">
        <v>219</v>
      </c>
      <c r="CC15" s="8" t="s">
        <v>173</v>
      </c>
      <c r="CD15" s="5">
        <f>CE14/100 -1</f>
        <v>7.8414816670089094E-2</v>
      </c>
    </row>
    <row r="16" spans="3:84" x14ac:dyDescent="0.2">
      <c r="C16" s="1" t="s">
        <v>1745</v>
      </c>
      <c r="I16" s="3"/>
      <c r="J16" s="19">
        <v>1.1999999999999999E-3</v>
      </c>
      <c r="K16" s="3">
        <f t="shared" si="6"/>
        <v>110.89498695839015</v>
      </c>
      <c r="L16" s="3"/>
      <c r="M16" s="3"/>
      <c r="N16" s="1" t="s">
        <v>1746</v>
      </c>
      <c r="V16" s="19">
        <v>6.1000000000000004E-3</v>
      </c>
      <c r="W16">
        <f t="shared" si="7"/>
        <v>113.23274429092024</v>
      </c>
      <c r="Y16" s="1" t="s">
        <v>2196</v>
      </c>
      <c r="AF16" s="19">
        <v>4.3499999999999997E-2</v>
      </c>
      <c r="AG16">
        <f t="shared" si="5"/>
        <v>99.560335738994794</v>
      </c>
      <c r="AI16" s="1" t="s">
        <v>219</v>
      </c>
      <c r="AO16" s="8" t="s">
        <v>173</v>
      </c>
      <c r="AP16" s="5">
        <f>AQ15/100 -1</f>
        <v>8.4444207994286424E-2</v>
      </c>
      <c r="AS16" s="1" t="s">
        <v>224</v>
      </c>
      <c r="AY16" s="8" t="s">
        <v>173</v>
      </c>
      <c r="AZ16" s="5">
        <f>BA15/100 -1</f>
        <v>2.1410959105047533E-2</v>
      </c>
      <c r="BC16" s="1" t="s">
        <v>219</v>
      </c>
      <c r="BI16" s="8" t="s">
        <v>173</v>
      </c>
      <c r="BJ16" s="5">
        <f>BK15/100 -1</f>
        <v>8.4444207994286424E-2</v>
      </c>
      <c r="BM16" s="1" t="s">
        <v>2203</v>
      </c>
      <c r="BS16" s="9" t="s">
        <v>172</v>
      </c>
      <c r="BT16" s="5">
        <f>BT15/12</f>
        <v>9.3348802621308813E-4</v>
      </c>
      <c r="BU16" t="s">
        <v>203</v>
      </c>
      <c r="BW16" s="1" t="s">
        <v>2198</v>
      </c>
      <c r="CC16" s="9" t="s">
        <v>172</v>
      </c>
      <c r="CD16" s="5">
        <f>CD15/12</f>
        <v>6.5345680558407575E-3</v>
      </c>
      <c r="CE16" t="s">
        <v>203</v>
      </c>
    </row>
    <row r="17" spans="3:82" x14ac:dyDescent="0.2">
      <c r="C17" s="1" t="s">
        <v>1746</v>
      </c>
      <c r="I17" s="3"/>
      <c r="J17" s="19">
        <v>-1.72E-2</v>
      </c>
      <c r="K17" s="3">
        <f t="shared" si="6"/>
        <v>108.98759318270584</v>
      </c>
      <c r="L17" s="3"/>
      <c r="M17" s="3"/>
      <c r="N17" s="1" t="s">
        <v>1747</v>
      </c>
      <c r="V17" s="19">
        <v>5.4999999999999997E-3</v>
      </c>
      <c r="W17">
        <f t="shared" si="7"/>
        <v>113.85552438452031</v>
      </c>
      <c r="Y17" s="1" t="s">
        <v>2197</v>
      </c>
      <c r="AE17" s="8" t="s">
        <v>173</v>
      </c>
      <c r="AF17" s="5">
        <f>AG16/100 -1</f>
        <v>-4.3966426100520151E-3</v>
      </c>
      <c r="AI17" s="1" t="s">
        <v>2198</v>
      </c>
      <c r="AO17" s="9" t="s">
        <v>172</v>
      </c>
      <c r="AP17" s="5">
        <f>AP16/12</f>
        <v>7.0370173328572023E-3</v>
      </c>
      <c r="AQ17" t="s">
        <v>203</v>
      </c>
      <c r="AS17" s="1" t="s">
        <v>2201</v>
      </c>
      <c r="AY17" s="9" t="s">
        <v>172</v>
      </c>
      <c r="AZ17" s="5">
        <f>AZ16/12</f>
        <v>1.7842465920872945E-3</v>
      </c>
      <c r="BA17" t="s">
        <v>203</v>
      </c>
      <c r="BC17" s="1" t="s">
        <v>2198</v>
      </c>
      <c r="BI17" s="9" t="s">
        <v>172</v>
      </c>
      <c r="BJ17" s="5">
        <f>BJ16/12</f>
        <v>7.0370173328572023E-3</v>
      </c>
      <c r="BK17" t="s">
        <v>203</v>
      </c>
      <c r="BM17" s="1" t="s">
        <v>2722</v>
      </c>
      <c r="BS17" s="9" t="s">
        <v>181</v>
      </c>
      <c r="BT17" s="5">
        <f>_xlfn.STDEV.S(BT3:BT14)*12^0.5</f>
        <v>0.13671883224672848</v>
      </c>
      <c r="BW17" s="1" t="s">
        <v>222</v>
      </c>
      <c r="CC17" s="9" t="s">
        <v>181</v>
      </c>
      <c r="CD17" s="5">
        <f>_xlfn.STDEV.S(CD3:CD14)*12^0.5</f>
        <v>0.13068621684296808</v>
      </c>
    </row>
    <row r="18" spans="3:82" x14ac:dyDescent="0.2">
      <c r="C18" s="1" t="s">
        <v>1747</v>
      </c>
      <c r="I18" s="3"/>
      <c r="J18" s="19">
        <v>-7.7000000000000002E-3</v>
      </c>
      <c r="K18" s="3">
        <f t="shared" si="6"/>
        <v>108.14838871519899</v>
      </c>
      <c r="L18" s="3"/>
      <c r="M18" s="3"/>
      <c r="N18" s="1" t="s">
        <v>1748</v>
      </c>
      <c r="V18" s="19">
        <v>-6.4999999999999997E-3</v>
      </c>
      <c r="W18">
        <f t="shared" si="7"/>
        <v>113.11546347602093</v>
      </c>
      <c r="Y18" s="1" t="s">
        <v>2198</v>
      </c>
      <c r="AE18" s="9" t="s">
        <v>172</v>
      </c>
      <c r="AF18" s="5">
        <f>AF17/12</f>
        <v>-3.6638688417100124E-4</v>
      </c>
      <c r="AG18" t="s">
        <v>203</v>
      </c>
      <c r="AI18" s="1" t="s">
        <v>222</v>
      </c>
      <c r="AO18" s="9" t="s">
        <v>181</v>
      </c>
      <c r="AP18" s="5">
        <f>_xlfn.STDEV.S(AP4:AP15)*12^0.5</f>
        <v>0.13140489474763245</v>
      </c>
      <c r="AS18" s="1" t="s">
        <v>2239</v>
      </c>
      <c r="AY18" s="9" t="s">
        <v>181</v>
      </c>
      <c r="AZ18" s="5">
        <f>_xlfn.STDEV.S(AZ4:AZ15)*12^0.5</f>
        <v>0.12657038286337691</v>
      </c>
      <c r="BC18" s="1" t="s">
        <v>222</v>
      </c>
      <c r="BI18" s="9" t="s">
        <v>181</v>
      </c>
      <c r="BJ18" s="5">
        <f>_xlfn.STDEV.S(BJ4:BJ15)*12^0.5</f>
        <v>0.13140489474763245</v>
      </c>
      <c r="BM18" s="1" t="s">
        <v>2198</v>
      </c>
      <c r="BS18" s="4" t="s">
        <v>171</v>
      </c>
      <c r="BT18" s="7">
        <f>(BT15-K1)/BT17</f>
        <v>-0.13749491109987708</v>
      </c>
      <c r="BW18" s="1" t="s">
        <v>221</v>
      </c>
      <c r="CC18" s="4" t="s">
        <v>171</v>
      </c>
      <c r="CD18" s="7">
        <f>(CD15-K1)/CD17</f>
        <v>0.37046612748966556</v>
      </c>
    </row>
    <row r="19" spans="3:82" x14ac:dyDescent="0.2">
      <c r="C19" s="1" t="s">
        <v>1748</v>
      </c>
      <c r="I19" s="3"/>
      <c r="J19" s="19">
        <v>-4.2000000000000003E-2</v>
      </c>
      <c r="K19" s="3">
        <f t="shared" si="6"/>
        <v>103.60615638916063</v>
      </c>
      <c r="L19" s="3"/>
      <c r="M19" s="3"/>
      <c r="N19" s="1" t="s">
        <v>1751</v>
      </c>
      <c r="V19" s="19">
        <v>-3.56E-2</v>
      </c>
      <c r="W19">
        <f t="shared" si="7"/>
        <v>109.0885529762746</v>
      </c>
      <c r="Y19" s="1" t="s">
        <v>2199</v>
      </c>
      <c r="AE19" s="9" t="s">
        <v>181</v>
      </c>
      <c r="AF19" s="5">
        <f>_xlfn.STDEV.S(AF5:AF16)*12^0.5</f>
        <v>0.12685497446081706</v>
      </c>
      <c r="AI19" s="1" t="s">
        <v>221</v>
      </c>
      <c r="AO19" s="4" t="s">
        <v>171</v>
      </c>
      <c r="AP19" s="7">
        <f>(AP16-K1)/AP18</f>
        <v>0.41432404857405325</v>
      </c>
      <c r="AS19" s="1" t="s">
        <v>223</v>
      </c>
      <c r="AY19" s="4" t="s">
        <v>171</v>
      </c>
      <c r="AZ19" s="7">
        <f>(AZ16-K1)/AZ18</f>
        <v>-6.7859800220590946E-2</v>
      </c>
      <c r="BC19" s="1" t="s">
        <v>221</v>
      </c>
      <c r="BI19" s="4" t="s">
        <v>171</v>
      </c>
      <c r="BJ19" s="7">
        <f>(BJ16-K1)/BJ18</f>
        <v>0.41432404857405325</v>
      </c>
      <c r="BM19" s="1" t="s">
        <v>224</v>
      </c>
      <c r="BS19" s="8" t="s">
        <v>178</v>
      </c>
      <c r="BT19" s="5">
        <f>_xlfn.STDEV.S(BV3:BV6)*12^0.5</f>
        <v>0.11797910832007504</v>
      </c>
      <c r="BW19" s="1" t="s">
        <v>220</v>
      </c>
      <c r="CC19" s="8" t="s">
        <v>178</v>
      </c>
      <c r="CD19" s="5">
        <f>_xlfn.STDEV.S(CF3:CF6)*12^0.5</f>
        <v>0.10061033744104031</v>
      </c>
    </row>
    <row r="20" spans="3:82" x14ac:dyDescent="0.2">
      <c r="C20" s="1" t="s">
        <v>1749</v>
      </c>
      <c r="J20" s="19">
        <v>3.2199999999999999E-2</v>
      </c>
      <c r="K20" s="3">
        <f t="shared" si="6"/>
        <v>106.94227462489161</v>
      </c>
      <c r="L20" s="3"/>
      <c r="M20" s="3"/>
      <c r="N20" s="1" t="s">
        <v>1752</v>
      </c>
      <c r="V20" s="19">
        <v>3.2399999999999998E-2</v>
      </c>
      <c r="W20">
        <f t="shared" si="7"/>
        <v>112.6230220927059</v>
      </c>
      <c r="Y20" s="1" t="s">
        <v>221</v>
      </c>
      <c r="AE20" s="4" t="s">
        <v>171</v>
      </c>
      <c r="AF20" s="7">
        <f>(AF17-K1)/AF19</f>
        <v>-0.27114934007319075</v>
      </c>
      <c r="AI20" s="1" t="s">
        <v>220</v>
      </c>
      <c r="AO20" s="8" t="s">
        <v>178</v>
      </c>
      <c r="AP20" s="5">
        <f>_xlfn.STDEV.S(AR4:AR7)*12^0.5</f>
        <v>0.10061033744104031</v>
      </c>
      <c r="AS20" s="1" t="s">
        <v>2198</v>
      </c>
      <c r="AY20" s="8" t="s">
        <v>178</v>
      </c>
      <c r="AZ20" s="5">
        <f>_xlfn.STDEV.S(BB4:BB7)*12^0.5</f>
        <v>9.6146762816019957E-2</v>
      </c>
      <c r="BC20" s="1" t="s">
        <v>220</v>
      </c>
      <c r="BI20" s="8" t="s">
        <v>178</v>
      </c>
      <c r="BJ20" s="5">
        <f>_xlfn.STDEV.S(BL4:BL7)*12^0.5</f>
        <v>0.10061033744104031</v>
      </c>
      <c r="BM20" s="1" t="s">
        <v>2197</v>
      </c>
      <c r="BS20" s="8" t="s">
        <v>177</v>
      </c>
      <c r="BT20" s="7">
        <f>(BT15-K1)/BT19</f>
        <v>-0.15933451229724455</v>
      </c>
      <c r="BW20" s="1" t="s">
        <v>2968</v>
      </c>
      <c r="CC20" s="8" t="s">
        <v>177</v>
      </c>
      <c r="CD20" s="7">
        <f>(CD15-K1)/CD19</f>
        <v>0.48121115485236449</v>
      </c>
    </row>
    <row r="21" spans="3:82" x14ac:dyDescent="0.2">
      <c r="C21" s="1" t="s">
        <v>1750</v>
      </c>
      <c r="I21" s="8" t="s">
        <v>173</v>
      </c>
      <c r="J21" s="11">
        <f>K20/100 - 1</f>
        <v>6.942274624891609E-2</v>
      </c>
      <c r="K21" s="3"/>
      <c r="L21" s="3"/>
      <c r="M21" s="3"/>
      <c r="N21" s="1" t="s">
        <v>1749</v>
      </c>
      <c r="U21" s="8" t="s">
        <v>173</v>
      </c>
      <c r="V21" s="5">
        <f>W20/100 -1</f>
        <v>0.12623022092705893</v>
      </c>
      <c r="Y21" s="1" t="s">
        <v>186</v>
      </c>
      <c r="AE21" s="8" t="s">
        <v>178</v>
      </c>
      <c r="AF21" s="5">
        <f>_xlfn.STDEV.S(AH5:AH8)*12^0.5</f>
        <v>0.10709285690465069</v>
      </c>
      <c r="AI21" s="1" t="s">
        <v>2238</v>
      </c>
      <c r="AO21" s="8" t="s">
        <v>177</v>
      </c>
      <c r="AP21" s="7">
        <f>(AP16-K1)/AP20</f>
        <v>0.54113930416138234</v>
      </c>
      <c r="AS21" s="1" t="s">
        <v>2238</v>
      </c>
      <c r="AY21" s="8" t="s">
        <v>177</v>
      </c>
      <c r="AZ21" s="7">
        <f>(AZ16-K1)/AZ20</f>
        <v>-8.9332606146999269E-2</v>
      </c>
      <c r="BC21" s="1" t="s">
        <v>2238</v>
      </c>
      <c r="BI21" s="8" t="s">
        <v>177</v>
      </c>
      <c r="BJ21" s="7">
        <f>(BJ16-K1)/BJ20</f>
        <v>0.54113930416138234</v>
      </c>
      <c r="BM21" s="1" t="s">
        <v>2196</v>
      </c>
      <c r="BS21" s="6" t="s">
        <v>179</v>
      </c>
      <c r="BT21" s="5">
        <f>BT9+BT10</f>
        <v>-7.8800000000000009E-2</v>
      </c>
      <c r="BW21" s="1" t="s">
        <v>223</v>
      </c>
      <c r="CC21" s="6" t="s">
        <v>179</v>
      </c>
      <c r="CD21" s="5">
        <f>CD9+CD10</f>
        <v>-6.5700000000000008E-2</v>
      </c>
    </row>
    <row r="22" spans="3:82" x14ac:dyDescent="0.2">
      <c r="C22" s="1" t="s">
        <v>1751</v>
      </c>
      <c r="I22" s="9" t="s">
        <v>172</v>
      </c>
      <c r="J22" s="11">
        <f>J21/12</f>
        <v>5.7852288540763408E-3</v>
      </c>
      <c r="K22" s="3" t="str">
        <f>W22</f>
        <v>per månad</v>
      </c>
      <c r="L22" s="3"/>
      <c r="M22" s="3"/>
      <c r="N22" s="1" t="s">
        <v>1750</v>
      </c>
      <c r="U22" s="9" t="s">
        <v>172</v>
      </c>
      <c r="V22" s="5">
        <f>V21/12</f>
        <v>1.0519185077254911E-2</v>
      </c>
      <c r="W22" t="s">
        <v>203</v>
      </c>
      <c r="Y22" s="1" t="s">
        <v>2200</v>
      </c>
      <c r="AE22" s="8" t="s">
        <v>177</v>
      </c>
      <c r="AF22" s="7">
        <f>(AF17-K1)/AF21</f>
        <v>-0.32118521817637946</v>
      </c>
      <c r="AI22" s="1" t="s">
        <v>223</v>
      </c>
      <c r="AO22" s="6" t="s">
        <v>179</v>
      </c>
      <c r="AP22" s="5">
        <f>AP10</f>
        <v>-6.6500000000000004E-2</v>
      </c>
      <c r="AS22" s="1" t="s">
        <v>2722</v>
      </c>
      <c r="AY22" s="6" t="s">
        <v>179</v>
      </c>
      <c r="AZ22" s="5">
        <f>AZ10+AZ11</f>
        <v>-7.5300000000000006E-2</v>
      </c>
      <c r="BC22" s="1" t="s">
        <v>223</v>
      </c>
      <c r="BI22" s="6" t="s">
        <v>179</v>
      </c>
      <c r="BJ22" s="5">
        <f>BJ10+BJ11</f>
        <v>-6.5700000000000008E-2</v>
      </c>
      <c r="BM22" s="1" t="s">
        <v>2200</v>
      </c>
      <c r="BS22" s="6" t="s">
        <v>182</v>
      </c>
      <c r="BT22" s="7">
        <f>SUMIF(BT3:BT14,"&gt;0") / ABS(SUMIF(BT3:BT14,"&lt;0"))</f>
        <v>1.117542823390431</v>
      </c>
      <c r="BW22" s="1" t="s">
        <v>2239</v>
      </c>
      <c r="CC22" s="6" t="s">
        <v>182</v>
      </c>
      <c r="CD22" s="7">
        <f>SUMIF(CD3:CD14,"&gt;0") / ABS(SUMIF(CD3:CD14,"&lt;0"))</f>
        <v>1.6285714285714286</v>
      </c>
    </row>
    <row r="23" spans="3:82" x14ac:dyDescent="0.2">
      <c r="C23" s="1" t="s">
        <v>1752</v>
      </c>
      <c r="I23" s="9" t="s">
        <v>181</v>
      </c>
      <c r="J23" s="11">
        <f>_xlfn.STDEV.S(J9:J20)*12^0.5</f>
        <v>0.12631819850174905</v>
      </c>
      <c r="K23" s="3"/>
      <c r="L23" s="3"/>
      <c r="M23" s="3"/>
      <c r="N23" s="2" t="s">
        <v>1874</v>
      </c>
      <c r="U23" s="9" t="s">
        <v>181</v>
      </c>
      <c r="V23" s="5">
        <f>_xlfn.STDEV.S(V9:V20)*12^0.5</f>
        <v>0.16427675927033508</v>
      </c>
      <c r="Y23" s="1" t="s">
        <v>2201</v>
      </c>
      <c r="AE23" s="6" t="s">
        <v>179</v>
      </c>
      <c r="AF23" s="5">
        <f>AF11+AF12</f>
        <v>-8.1100000000000005E-2</v>
      </c>
      <c r="AI23" s="1" t="s">
        <v>2239</v>
      </c>
      <c r="AO23" s="6" t="s">
        <v>182</v>
      </c>
      <c r="AP23" s="7">
        <f>SUMIF(AP4:AP15,"&gt;0") / ABS(SUMIF(AP4:AP15,"&lt;0"))</f>
        <v>1.6714285714285713</v>
      </c>
      <c r="AS23" s="1" t="s">
        <v>2203</v>
      </c>
      <c r="AY23" s="6" t="s">
        <v>182</v>
      </c>
      <c r="AZ23" s="7">
        <f>SUMIF(AZ4:AZ15,"&gt;0") / ABS(SUMIF(AZ4:AZ15,"&lt;0"))</f>
        <v>1.1945578231292513</v>
      </c>
      <c r="BC23" s="1" t="s">
        <v>2239</v>
      </c>
      <c r="BI23" s="6" t="s">
        <v>182</v>
      </c>
      <c r="BJ23" s="7">
        <f>SUMIF(BJ4:BJ15,"&gt;0") / ABS(SUMIF(BJ4:BJ15,"&lt;0"))</f>
        <v>1.6714285714285713</v>
      </c>
      <c r="BM23" s="1" t="s">
        <v>2201</v>
      </c>
      <c r="BW23" s="1" t="s">
        <v>2240</v>
      </c>
    </row>
    <row r="24" spans="3:82" x14ac:dyDescent="0.2">
      <c r="C24" s="2" t="s">
        <v>1753</v>
      </c>
      <c r="I24" s="4" t="s">
        <v>171</v>
      </c>
      <c r="J24" s="14">
        <f>(J21-K1)/J23</f>
        <v>0.31209078910645033</v>
      </c>
      <c r="K24" s="3"/>
      <c r="L24" s="3"/>
      <c r="M24" s="3"/>
      <c r="N24" s="1" t="s">
        <v>1763</v>
      </c>
      <c r="U24" s="4" t="s">
        <v>171</v>
      </c>
      <c r="V24" s="7">
        <f>(V21-K1)/V23</f>
        <v>0.58578110107895265</v>
      </c>
      <c r="Y24" s="1" t="s">
        <v>2202</v>
      </c>
      <c r="AE24" s="6" t="s">
        <v>182</v>
      </c>
      <c r="AF24" s="7">
        <f>SUMIF(AF5:AF16,"&gt;0") / ABS(SUMIF(AF5:AF16,"&lt;0"))</f>
        <v>1.0194357366771158</v>
      </c>
      <c r="AI24" s="1" t="s">
        <v>2240</v>
      </c>
      <c r="AS24" s="1" t="s">
        <v>186</v>
      </c>
      <c r="BC24" s="1" t="s">
        <v>2240</v>
      </c>
      <c r="BM24" s="1" t="s">
        <v>2202</v>
      </c>
      <c r="BW24" s="1" t="s">
        <v>2196</v>
      </c>
    </row>
    <row r="25" spans="3:82" x14ac:dyDescent="0.2">
      <c r="C25" s="1" t="s">
        <v>1754</v>
      </c>
      <c r="I25" s="8" t="s">
        <v>178</v>
      </c>
      <c r="J25" s="11">
        <f>_xlfn.STDEV.S(J9:J20)*12^0.5</f>
        <v>0.12631819850174905</v>
      </c>
      <c r="K25" s="3"/>
      <c r="L25" s="3"/>
      <c r="M25" s="3"/>
      <c r="N25" s="1" t="s">
        <v>1875</v>
      </c>
      <c r="U25" s="8" t="s">
        <v>178</v>
      </c>
      <c r="V25" s="5">
        <f>_xlfn.STDEV.S(X9:X12)*12^0.5</f>
        <v>8.1323305392734732E-2</v>
      </c>
      <c r="Y25" s="1" t="s">
        <v>2203</v>
      </c>
      <c r="AI25" s="1" t="s">
        <v>2196</v>
      </c>
      <c r="AS25" s="1" t="s">
        <v>221</v>
      </c>
      <c r="BC25" s="1" t="s">
        <v>2196</v>
      </c>
      <c r="BM25" s="1" t="s">
        <v>221</v>
      </c>
    </row>
    <row r="26" spans="3:82" x14ac:dyDescent="0.2">
      <c r="C26" s="1" t="s">
        <v>1755</v>
      </c>
      <c r="I26" s="8" t="s">
        <v>177</v>
      </c>
      <c r="J26" s="14">
        <f>(J21-K1)/J25</f>
        <v>0.31209078910645033</v>
      </c>
      <c r="K26" s="3"/>
      <c r="L26" s="3"/>
      <c r="M26" s="3"/>
      <c r="N26" s="1" t="s">
        <v>1756</v>
      </c>
      <c r="U26" s="8" t="s">
        <v>177</v>
      </c>
      <c r="V26" s="7">
        <f>(V21-K1)/V25</f>
        <v>1.183304348763669</v>
      </c>
      <c r="BW26" s="1" t="s">
        <v>231</v>
      </c>
    </row>
    <row r="27" spans="3:82" x14ac:dyDescent="0.2">
      <c r="C27" s="1" t="s">
        <v>1756</v>
      </c>
      <c r="I27" s="6" t="s">
        <v>179</v>
      </c>
      <c r="J27" s="11">
        <f>J14</f>
        <v>-6.0100000000000001E-2</v>
      </c>
      <c r="K27" s="3"/>
      <c r="L27" s="3"/>
      <c r="M27" s="3"/>
      <c r="N27" s="1" t="s">
        <v>1876</v>
      </c>
      <c r="U27" s="6" t="s">
        <v>179</v>
      </c>
      <c r="V27" s="5">
        <f>V15</f>
        <v>-6.0100000000000001E-2</v>
      </c>
      <c r="Y27" s="2" t="s">
        <v>2588</v>
      </c>
      <c r="AI27" s="2" t="s">
        <v>2598</v>
      </c>
      <c r="AS27" s="2" t="s">
        <v>2598</v>
      </c>
      <c r="BC27" s="2" t="s">
        <v>2598</v>
      </c>
      <c r="BM27" s="2" t="s">
        <v>2944</v>
      </c>
      <c r="BW27" s="1" t="s">
        <v>2204</v>
      </c>
    </row>
    <row r="28" spans="3:82" x14ac:dyDescent="0.2">
      <c r="C28" s="1" t="s">
        <v>1757</v>
      </c>
      <c r="I28" s="6" t="s">
        <v>182</v>
      </c>
      <c r="J28" s="14">
        <f>SUMIF(J9:J20,"&gt;0") / ABS(SUMIF(J9:J20,"&lt;0"))</f>
        <v>1.5874015748031496</v>
      </c>
      <c r="K28" s="3"/>
      <c r="L28" s="3"/>
      <c r="M28" s="3"/>
      <c r="N28" s="1" t="s">
        <v>1754</v>
      </c>
      <c r="U28" s="6" t="s">
        <v>182</v>
      </c>
      <c r="V28" s="7">
        <f>SUMIF(V9:V20,"&gt;0") / ABS(SUMIF(V9:V20,"&lt;0"))</f>
        <v>2.0996649916247905</v>
      </c>
      <c r="Y28" s="1" t="s">
        <v>233</v>
      </c>
      <c r="AI28" s="1" t="s">
        <v>231</v>
      </c>
      <c r="AS28" s="1" t="s">
        <v>230</v>
      </c>
      <c r="BC28" s="1" t="s">
        <v>231</v>
      </c>
      <c r="BM28" s="1" t="s">
        <v>229</v>
      </c>
      <c r="BW28" s="1" t="s">
        <v>227</v>
      </c>
    </row>
    <row r="29" spans="3:82" x14ac:dyDescent="0.2">
      <c r="C29" s="1" t="s">
        <v>1758</v>
      </c>
      <c r="J29" s="3"/>
      <c r="K29" s="3"/>
      <c r="L29" s="3"/>
      <c r="M29" s="3"/>
      <c r="N29" s="1" t="s">
        <v>1760</v>
      </c>
      <c r="Y29" s="1" t="s">
        <v>231</v>
      </c>
      <c r="AI29" s="1" t="s">
        <v>2204</v>
      </c>
      <c r="AS29" s="1" t="s">
        <v>231</v>
      </c>
      <c r="BC29" s="1" t="s">
        <v>2204</v>
      </c>
      <c r="BM29" s="1" t="s">
        <v>235</v>
      </c>
      <c r="BW29" s="1" t="s">
        <v>230</v>
      </c>
    </row>
    <row r="30" spans="3:82" x14ac:dyDescent="0.2">
      <c r="C30" s="1" t="s">
        <v>1759</v>
      </c>
      <c r="J30" s="3"/>
      <c r="K30" s="3"/>
      <c r="L30" s="3"/>
      <c r="M30" s="3"/>
      <c r="N30" s="1" t="s">
        <v>1877</v>
      </c>
      <c r="Y30" s="1" t="s">
        <v>227</v>
      </c>
      <c r="AI30" s="1" t="s">
        <v>227</v>
      </c>
      <c r="AS30" s="1" t="s">
        <v>229</v>
      </c>
      <c r="BC30" s="1" t="s">
        <v>227</v>
      </c>
      <c r="BM30" s="1" t="s">
        <v>232</v>
      </c>
      <c r="BW30" s="1" t="s">
        <v>232</v>
      </c>
    </row>
    <row r="31" spans="3:82" x14ac:dyDescent="0.2">
      <c r="C31" s="1" t="s">
        <v>1760</v>
      </c>
      <c r="N31" s="1" t="s">
        <v>1878</v>
      </c>
      <c r="Y31" s="1" t="s">
        <v>229</v>
      </c>
      <c r="AI31" s="1" t="s">
        <v>230</v>
      </c>
      <c r="AS31" s="1" t="s">
        <v>234</v>
      </c>
      <c r="BC31" s="1" t="s">
        <v>230</v>
      </c>
      <c r="BM31" s="1" t="s">
        <v>234</v>
      </c>
      <c r="BW31" s="1" t="s">
        <v>234</v>
      </c>
    </row>
    <row r="32" spans="3:82" x14ac:dyDescent="0.2">
      <c r="C32" s="1" t="s">
        <v>1761</v>
      </c>
      <c r="N32" s="1" t="s">
        <v>1879</v>
      </c>
      <c r="Y32" s="1" t="s">
        <v>230</v>
      </c>
      <c r="AI32" s="1" t="s">
        <v>232</v>
      </c>
      <c r="AS32" s="1" t="s">
        <v>235</v>
      </c>
      <c r="BC32" s="1" t="s">
        <v>232</v>
      </c>
      <c r="BM32" s="1" t="s">
        <v>230</v>
      </c>
      <c r="BW32" s="1" t="s">
        <v>235</v>
      </c>
    </row>
    <row r="33" spans="3:75" x14ac:dyDescent="0.2">
      <c r="C33" s="1" t="s">
        <v>1762</v>
      </c>
      <c r="N33" s="1" t="s">
        <v>1758</v>
      </c>
      <c r="Y33" s="1" t="s">
        <v>234</v>
      </c>
      <c r="AI33" s="1" t="s">
        <v>234</v>
      </c>
      <c r="AS33" s="1" t="s">
        <v>2204</v>
      </c>
      <c r="BC33" s="1" t="s">
        <v>234</v>
      </c>
      <c r="BM33" s="1" t="s">
        <v>227</v>
      </c>
      <c r="BW33" s="1" t="s">
        <v>233</v>
      </c>
    </row>
    <row r="34" spans="3:75" x14ac:dyDescent="0.2">
      <c r="C34" s="1" t="s">
        <v>1763</v>
      </c>
      <c r="N34" s="2" t="s">
        <v>1880</v>
      </c>
      <c r="Y34" s="1" t="s">
        <v>235</v>
      </c>
      <c r="AI34" s="1" t="s">
        <v>235</v>
      </c>
      <c r="AS34" s="1" t="s">
        <v>232</v>
      </c>
      <c r="BC34" s="1" t="s">
        <v>235</v>
      </c>
      <c r="BM34" s="1" t="s">
        <v>231</v>
      </c>
      <c r="BW34" s="1" t="s">
        <v>229</v>
      </c>
    </row>
    <row r="35" spans="3:75" x14ac:dyDescent="0.2">
      <c r="C35" s="2" t="s">
        <v>1764</v>
      </c>
      <c r="N35" s="1" t="s">
        <v>1767</v>
      </c>
      <c r="Y35" s="1" t="s">
        <v>232</v>
      </c>
      <c r="AI35" s="1" t="s">
        <v>233</v>
      </c>
      <c r="AS35" s="1" t="s">
        <v>227</v>
      </c>
      <c r="BC35" s="1" t="s">
        <v>233</v>
      </c>
      <c r="BM35" s="1" t="s">
        <v>2204</v>
      </c>
      <c r="BW35" s="1" t="s">
        <v>2241</v>
      </c>
    </row>
    <row r="36" spans="3:75" x14ac:dyDescent="0.2">
      <c r="C36" s="1" t="s">
        <v>1765</v>
      </c>
      <c r="N36" s="1" t="s">
        <v>1766</v>
      </c>
      <c r="Y36" s="1" t="s">
        <v>2204</v>
      </c>
      <c r="AI36" s="1" t="s">
        <v>229</v>
      </c>
      <c r="AS36" s="1" t="s">
        <v>233</v>
      </c>
      <c r="BC36" s="1" t="s">
        <v>229</v>
      </c>
      <c r="BM36" s="1" t="s">
        <v>233</v>
      </c>
    </row>
    <row r="37" spans="3:75" x14ac:dyDescent="0.2">
      <c r="C37" s="1" t="s">
        <v>1766</v>
      </c>
      <c r="N37" s="1" t="s">
        <v>1765</v>
      </c>
      <c r="Y37" s="1" t="s">
        <v>2205</v>
      </c>
      <c r="AI37" s="1" t="s">
        <v>2241</v>
      </c>
      <c r="AS37" s="1" t="s">
        <v>339</v>
      </c>
      <c r="BC37" s="1" t="s">
        <v>2241</v>
      </c>
      <c r="BM37" s="1" t="s">
        <v>2205</v>
      </c>
      <c r="BW37" s="1" t="s">
        <v>238</v>
      </c>
    </row>
    <row r="38" spans="3:75" x14ac:dyDescent="0.2">
      <c r="C38" s="1" t="s">
        <v>1767</v>
      </c>
      <c r="N38" s="1" t="s">
        <v>1769</v>
      </c>
      <c r="BW38" s="1" t="s">
        <v>237</v>
      </c>
    </row>
    <row r="39" spans="3:75" x14ac:dyDescent="0.2">
      <c r="C39" s="1" t="s">
        <v>1768</v>
      </c>
      <c r="N39" s="1" t="s">
        <v>1772</v>
      </c>
      <c r="Y39" s="2" t="s">
        <v>2589</v>
      </c>
      <c r="AI39" s="2" t="s">
        <v>2599</v>
      </c>
      <c r="AS39" s="2" t="s">
        <v>2723</v>
      </c>
      <c r="BC39" s="2" t="s">
        <v>2599</v>
      </c>
      <c r="BM39" s="2" t="s">
        <v>2945</v>
      </c>
      <c r="BW39" s="1" t="s">
        <v>205</v>
      </c>
    </row>
    <row r="40" spans="3:75" x14ac:dyDescent="0.2">
      <c r="C40" s="1" t="s">
        <v>1769</v>
      </c>
      <c r="N40" s="1" t="s">
        <v>1773</v>
      </c>
      <c r="Y40" s="1" t="s">
        <v>237</v>
      </c>
      <c r="AI40" s="1" t="s">
        <v>238</v>
      </c>
      <c r="AS40" s="1" t="s">
        <v>238</v>
      </c>
      <c r="BC40" s="1" t="s">
        <v>238</v>
      </c>
      <c r="BM40" s="1" t="s">
        <v>237</v>
      </c>
      <c r="BW40" s="1" t="s">
        <v>240</v>
      </c>
    </row>
    <row r="41" spans="3:75" x14ac:dyDescent="0.2">
      <c r="C41" s="1" t="s">
        <v>1770</v>
      </c>
      <c r="N41" s="1" t="s">
        <v>1774</v>
      </c>
      <c r="Y41" s="1" t="s">
        <v>238</v>
      </c>
      <c r="AI41" s="1" t="s">
        <v>237</v>
      </c>
      <c r="AS41" s="1" t="s">
        <v>237</v>
      </c>
      <c r="BC41" s="1" t="s">
        <v>237</v>
      </c>
      <c r="BM41" s="1" t="s">
        <v>238</v>
      </c>
      <c r="BW41" s="1" t="s">
        <v>341</v>
      </c>
    </row>
    <row r="42" spans="3:75" x14ac:dyDescent="0.2">
      <c r="C42" s="1" t="s">
        <v>1771</v>
      </c>
      <c r="N42" s="1" t="s">
        <v>1770</v>
      </c>
      <c r="Y42" s="1" t="s">
        <v>205</v>
      </c>
      <c r="AI42" s="1" t="s">
        <v>205</v>
      </c>
      <c r="AS42" s="1" t="s">
        <v>240</v>
      </c>
      <c r="BC42" s="1" t="s">
        <v>205</v>
      </c>
      <c r="BM42" s="1" t="s">
        <v>2946</v>
      </c>
      <c r="BW42" s="1" t="s">
        <v>2242</v>
      </c>
    </row>
    <row r="43" spans="3:75" x14ac:dyDescent="0.2">
      <c r="C43" s="1" t="s">
        <v>1772</v>
      </c>
      <c r="N43" s="1" t="s">
        <v>1771</v>
      </c>
      <c r="Y43" s="1" t="s">
        <v>240</v>
      </c>
      <c r="AI43" s="1" t="s">
        <v>240</v>
      </c>
      <c r="AS43" s="1" t="s">
        <v>205</v>
      </c>
      <c r="BC43" s="1" t="s">
        <v>240</v>
      </c>
      <c r="BM43" s="1" t="s">
        <v>240</v>
      </c>
      <c r="BW43" s="1" t="s">
        <v>244</v>
      </c>
    </row>
    <row r="44" spans="3:75" x14ac:dyDescent="0.2">
      <c r="C44" s="1" t="s">
        <v>1773</v>
      </c>
      <c r="N44" s="1" t="s">
        <v>1881</v>
      </c>
      <c r="Y44" s="1" t="s">
        <v>239</v>
      </c>
      <c r="AI44" s="1" t="s">
        <v>341</v>
      </c>
      <c r="AS44" s="1" t="s">
        <v>243</v>
      </c>
      <c r="BC44" s="1" t="s">
        <v>341</v>
      </c>
      <c r="BM44" s="1" t="s">
        <v>2947</v>
      </c>
      <c r="BW44" s="1" t="s">
        <v>245</v>
      </c>
    </row>
    <row r="45" spans="3:75" x14ac:dyDescent="0.2">
      <c r="C45" s="1" t="s">
        <v>1774</v>
      </c>
      <c r="N45" s="2" t="s">
        <v>1882</v>
      </c>
      <c r="Y45" s="1" t="s">
        <v>2206</v>
      </c>
      <c r="AI45" s="1" t="s">
        <v>2242</v>
      </c>
      <c r="AS45" s="1" t="s">
        <v>239</v>
      </c>
      <c r="BC45" s="1" t="s">
        <v>2242</v>
      </c>
      <c r="BM45" s="1" t="s">
        <v>2948</v>
      </c>
      <c r="BW45" s="1" t="s">
        <v>241</v>
      </c>
    </row>
    <row r="46" spans="3:75" x14ac:dyDescent="0.2">
      <c r="C46" s="2" t="s">
        <v>1775</v>
      </c>
      <c r="N46" s="1" t="s">
        <v>1776</v>
      </c>
      <c r="Y46" s="1" t="s">
        <v>2207</v>
      </c>
      <c r="AI46" s="1" t="s">
        <v>244</v>
      </c>
      <c r="AS46" s="1" t="s">
        <v>2724</v>
      </c>
      <c r="BC46" s="1" t="s">
        <v>244</v>
      </c>
      <c r="BM46" s="1" t="s">
        <v>2949</v>
      </c>
      <c r="BW46" s="1" t="s">
        <v>242</v>
      </c>
    </row>
    <row r="47" spans="3:75" x14ac:dyDescent="0.2">
      <c r="C47" s="1" t="s">
        <v>1776</v>
      </c>
      <c r="N47" s="1" t="s">
        <v>1883</v>
      </c>
      <c r="Y47" s="1" t="s">
        <v>245</v>
      </c>
      <c r="AI47" s="1" t="s">
        <v>245</v>
      </c>
      <c r="AS47" s="1" t="s">
        <v>341</v>
      </c>
      <c r="BC47" s="1" t="s">
        <v>245</v>
      </c>
      <c r="BM47" s="1" t="s">
        <v>243</v>
      </c>
    </row>
    <row r="48" spans="3:75" x14ac:dyDescent="0.2">
      <c r="C48" s="1" t="s">
        <v>1777</v>
      </c>
      <c r="N48" s="1" t="s">
        <v>1778</v>
      </c>
      <c r="Y48" s="1" t="s">
        <v>2208</v>
      </c>
      <c r="AI48" s="1" t="s">
        <v>241</v>
      </c>
      <c r="AS48" s="1" t="s">
        <v>244</v>
      </c>
      <c r="BC48" s="1" t="s">
        <v>241</v>
      </c>
      <c r="BM48" s="1" t="s">
        <v>2950</v>
      </c>
      <c r="BW48" s="1" t="s">
        <v>251</v>
      </c>
    </row>
    <row r="49" spans="3:75" x14ac:dyDescent="0.2">
      <c r="C49" s="1" t="s">
        <v>1778</v>
      </c>
      <c r="N49" s="1" t="s">
        <v>1782</v>
      </c>
      <c r="Y49" s="1" t="s">
        <v>244</v>
      </c>
      <c r="AI49" s="1" t="s">
        <v>242</v>
      </c>
      <c r="AS49" s="1" t="s">
        <v>2208</v>
      </c>
      <c r="BC49" s="1" t="s">
        <v>242</v>
      </c>
      <c r="BM49" s="1" t="s">
        <v>2951</v>
      </c>
      <c r="BW49" s="1" t="s">
        <v>254</v>
      </c>
    </row>
    <row r="50" spans="3:75" x14ac:dyDescent="0.2">
      <c r="C50" s="1" t="s">
        <v>1779</v>
      </c>
      <c r="N50" s="1" t="s">
        <v>1779</v>
      </c>
      <c r="BW50" s="1" t="s">
        <v>248</v>
      </c>
    </row>
    <row r="51" spans="3:75" x14ac:dyDescent="0.2">
      <c r="C51" s="1" t="s">
        <v>1780</v>
      </c>
      <c r="N51" s="1" t="s">
        <v>1785</v>
      </c>
      <c r="Y51" s="2" t="s">
        <v>2590</v>
      </c>
      <c r="AI51" s="2" t="s">
        <v>2600</v>
      </c>
      <c r="AS51" s="2" t="s">
        <v>2725</v>
      </c>
      <c r="BC51" s="2" t="s">
        <v>2600</v>
      </c>
      <c r="BM51" s="2" t="s">
        <v>2952</v>
      </c>
      <c r="BW51" s="1" t="s">
        <v>246</v>
      </c>
    </row>
    <row r="52" spans="3:75" x14ac:dyDescent="0.2">
      <c r="C52" s="1" t="s">
        <v>1781</v>
      </c>
      <c r="N52" s="1" t="s">
        <v>1777</v>
      </c>
      <c r="Y52" s="1" t="s">
        <v>2209</v>
      </c>
      <c r="AI52" s="1" t="s">
        <v>251</v>
      </c>
      <c r="AS52" s="1" t="s">
        <v>2209</v>
      </c>
      <c r="BC52" s="1" t="s">
        <v>251</v>
      </c>
      <c r="BM52" s="1" t="s">
        <v>2209</v>
      </c>
      <c r="BW52" s="1" t="s">
        <v>252</v>
      </c>
    </row>
    <row r="53" spans="3:75" x14ac:dyDescent="0.2">
      <c r="C53" s="1" t="s">
        <v>1782</v>
      </c>
      <c r="N53" s="1" t="s">
        <v>1780</v>
      </c>
      <c r="Y53" s="1" t="s">
        <v>254</v>
      </c>
      <c r="AI53" s="1" t="s">
        <v>254</v>
      </c>
      <c r="AS53" s="1" t="s">
        <v>254</v>
      </c>
      <c r="BC53" s="1" t="s">
        <v>254</v>
      </c>
      <c r="BM53" s="1" t="s">
        <v>254</v>
      </c>
      <c r="BW53" s="1" t="s">
        <v>249</v>
      </c>
    </row>
    <row r="54" spans="3:75" x14ac:dyDescent="0.2">
      <c r="C54" s="1" t="s">
        <v>1783</v>
      </c>
      <c r="N54" s="1" t="s">
        <v>1784</v>
      </c>
      <c r="Y54" s="1" t="s">
        <v>2210</v>
      </c>
      <c r="AI54" s="1" t="s">
        <v>248</v>
      </c>
      <c r="AS54" s="1" t="s">
        <v>2210</v>
      </c>
      <c r="BC54" s="1" t="s">
        <v>248</v>
      </c>
      <c r="BM54" s="1" t="s">
        <v>2210</v>
      </c>
      <c r="BW54" s="1" t="s">
        <v>255</v>
      </c>
    </row>
    <row r="55" spans="3:75" x14ac:dyDescent="0.2">
      <c r="C55" s="1" t="s">
        <v>1784</v>
      </c>
      <c r="N55" s="1" t="s">
        <v>1783</v>
      </c>
      <c r="Y55" s="1" t="s">
        <v>2211</v>
      </c>
      <c r="AI55" s="1" t="s">
        <v>246</v>
      </c>
      <c r="AS55" s="1" t="s">
        <v>2211</v>
      </c>
      <c r="BC55" s="1" t="s">
        <v>246</v>
      </c>
      <c r="BM55" s="1" t="s">
        <v>2211</v>
      </c>
      <c r="BW55" s="1" t="s">
        <v>247</v>
      </c>
    </row>
    <row r="56" spans="3:75" x14ac:dyDescent="0.2">
      <c r="C56" s="1" t="s">
        <v>1785</v>
      </c>
      <c r="N56" s="2" t="s">
        <v>1884</v>
      </c>
      <c r="Y56" s="1" t="s">
        <v>255</v>
      </c>
      <c r="AI56" s="1" t="s">
        <v>252</v>
      </c>
      <c r="AS56" s="1" t="s">
        <v>255</v>
      </c>
      <c r="BC56" s="1" t="s">
        <v>252</v>
      </c>
      <c r="BM56" s="1" t="s">
        <v>255</v>
      </c>
      <c r="BW56" s="1" t="s">
        <v>250</v>
      </c>
    </row>
    <row r="57" spans="3:75" x14ac:dyDescent="0.2">
      <c r="C57" s="2" t="s">
        <v>1786</v>
      </c>
      <c r="N57" s="1" t="s">
        <v>1787</v>
      </c>
      <c r="Y57" s="1" t="s">
        <v>252</v>
      </c>
      <c r="AI57" s="1" t="s">
        <v>249</v>
      </c>
      <c r="AS57" s="1" t="s">
        <v>252</v>
      </c>
      <c r="BC57" s="1" t="s">
        <v>249</v>
      </c>
      <c r="BM57" s="1" t="s">
        <v>252</v>
      </c>
      <c r="BW57" s="1" t="s">
        <v>253</v>
      </c>
    </row>
    <row r="58" spans="3:75" x14ac:dyDescent="0.2">
      <c r="C58" s="1" t="s">
        <v>1787</v>
      </c>
      <c r="N58" s="1" t="s">
        <v>1788</v>
      </c>
      <c r="Y58" s="1" t="s">
        <v>2212</v>
      </c>
      <c r="AI58" s="1" t="s">
        <v>255</v>
      </c>
      <c r="AS58" s="1" t="s">
        <v>2212</v>
      </c>
      <c r="BC58" s="1" t="s">
        <v>255</v>
      </c>
      <c r="BM58" s="1" t="s">
        <v>2212</v>
      </c>
    </row>
    <row r="59" spans="3:75" x14ac:dyDescent="0.2">
      <c r="C59" s="1" t="s">
        <v>1788</v>
      </c>
      <c r="N59" s="1" t="s">
        <v>1789</v>
      </c>
      <c r="Y59" s="1" t="s">
        <v>248</v>
      </c>
      <c r="AI59" s="1" t="s">
        <v>247</v>
      </c>
      <c r="AS59" s="1" t="s">
        <v>248</v>
      </c>
      <c r="BC59" s="1" t="s">
        <v>247</v>
      </c>
      <c r="BM59" s="1" t="s">
        <v>248</v>
      </c>
      <c r="BW59" s="1" t="s">
        <v>256</v>
      </c>
    </row>
    <row r="60" spans="3:75" x14ac:dyDescent="0.2">
      <c r="C60" s="1" t="s">
        <v>1789</v>
      </c>
      <c r="N60" s="1" t="s">
        <v>1790</v>
      </c>
      <c r="Y60" s="1" t="s">
        <v>249</v>
      </c>
      <c r="AI60" s="1" t="s">
        <v>250</v>
      </c>
      <c r="AS60" s="1" t="s">
        <v>249</v>
      </c>
      <c r="BC60" s="1" t="s">
        <v>250</v>
      </c>
      <c r="BM60" s="1" t="s">
        <v>249</v>
      </c>
      <c r="BW60" s="1" t="s">
        <v>257</v>
      </c>
    </row>
    <row r="61" spans="3:75" x14ac:dyDescent="0.2">
      <c r="C61" s="1" t="s">
        <v>1790</v>
      </c>
      <c r="N61" s="1" t="s">
        <v>1791</v>
      </c>
      <c r="Y61" s="1" t="s">
        <v>253</v>
      </c>
      <c r="AI61" s="1" t="s">
        <v>253</v>
      </c>
      <c r="AS61" s="1" t="s">
        <v>253</v>
      </c>
      <c r="BC61" s="1" t="s">
        <v>253</v>
      </c>
      <c r="BM61" s="1" t="s">
        <v>253</v>
      </c>
      <c r="BW61" s="1" t="s">
        <v>259</v>
      </c>
    </row>
    <row r="62" spans="3:75" x14ac:dyDescent="0.2">
      <c r="C62" s="1" t="s">
        <v>1791</v>
      </c>
      <c r="N62" s="1" t="s">
        <v>1792</v>
      </c>
      <c r="BW62" s="1" t="s">
        <v>260</v>
      </c>
    </row>
    <row r="63" spans="3:75" x14ac:dyDescent="0.2">
      <c r="C63" s="1" t="s">
        <v>1792</v>
      </c>
      <c r="N63" s="1" t="s">
        <v>1793</v>
      </c>
      <c r="Y63" s="2" t="s">
        <v>2591</v>
      </c>
      <c r="AI63" s="2" t="s">
        <v>2591</v>
      </c>
      <c r="AS63" s="2" t="s">
        <v>2591</v>
      </c>
      <c r="BC63" s="2" t="s">
        <v>2591</v>
      </c>
      <c r="BM63" s="2" t="s">
        <v>2953</v>
      </c>
      <c r="BW63" s="1" t="s">
        <v>258</v>
      </c>
    </row>
    <row r="64" spans="3:75" x14ac:dyDescent="0.2">
      <c r="C64" s="1" t="s">
        <v>1793</v>
      </c>
      <c r="N64" s="1" t="s">
        <v>1794</v>
      </c>
      <c r="Y64" s="1" t="s">
        <v>2213</v>
      </c>
      <c r="AI64" s="1" t="s">
        <v>256</v>
      </c>
      <c r="AS64" s="1" t="s">
        <v>259</v>
      </c>
      <c r="BC64" s="1" t="s">
        <v>256</v>
      </c>
      <c r="BM64" s="1" t="s">
        <v>2213</v>
      </c>
      <c r="BW64" s="1" t="s">
        <v>261</v>
      </c>
    </row>
    <row r="65" spans="3:75" x14ac:dyDescent="0.2">
      <c r="C65" s="1" t="s">
        <v>1794</v>
      </c>
      <c r="N65" s="1" t="s">
        <v>1796</v>
      </c>
      <c r="Y65" s="1" t="s">
        <v>2214</v>
      </c>
      <c r="AI65" s="1" t="s">
        <v>257</v>
      </c>
      <c r="AS65" s="1" t="s">
        <v>263</v>
      </c>
      <c r="BC65" s="1" t="s">
        <v>257</v>
      </c>
      <c r="BM65" s="1" t="s">
        <v>2954</v>
      </c>
      <c r="BW65" s="1" t="s">
        <v>262</v>
      </c>
    </row>
    <row r="66" spans="3:75" x14ac:dyDescent="0.2">
      <c r="C66" s="1" t="s">
        <v>1795</v>
      </c>
      <c r="N66" s="1" t="s">
        <v>1795</v>
      </c>
      <c r="Y66" s="1" t="s">
        <v>260</v>
      </c>
      <c r="AI66" s="1" t="s">
        <v>259</v>
      </c>
      <c r="AS66" s="1" t="s">
        <v>2726</v>
      </c>
      <c r="BC66" s="1" t="s">
        <v>259</v>
      </c>
      <c r="BM66" s="1" t="s">
        <v>260</v>
      </c>
      <c r="BW66" s="1" t="s">
        <v>263</v>
      </c>
    </row>
    <row r="67" spans="3:75" x14ac:dyDescent="0.2">
      <c r="C67" s="1" t="s">
        <v>1796</v>
      </c>
      <c r="N67" s="2" t="s">
        <v>1885</v>
      </c>
      <c r="Y67" s="1" t="s">
        <v>261</v>
      </c>
      <c r="AI67" s="1" t="s">
        <v>260</v>
      </c>
      <c r="AS67" s="1" t="s">
        <v>2215</v>
      </c>
      <c r="BC67" s="1" t="s">
        <v>260</v>
      </c>
      <c r="BM67" s="1" t="s">
        <v>261</v>
      </c>
      <c r="BW67" s="1" t="s">
        <v>264</v>
      </c>
    </row>
    <row r="68" spans="3:75" x14ac:dyDescent="0.2">
      <c r="C68" s="2" t="s">
        <v>1797</v>
      </c>
      <c r="N68" s="1" t="s">
        <v>1798</v>
      </c>
      <c r="Y68" s="1" t="s">
        <v>262</v>
      </c>
      <c r="AI68" s="1" t="s">
        <v>258</v>
      </c>
      <c r="AS68" s="1" t="s">
        <v>265</v>
      </c>
      <c r="BC68" s="1" t="s">
        <v>258</v>
      </c>
      <c r="BM68" s="1" t="s">
        <v>262</v>
      </c>
      <c r="BW68" s="1" t="s">
        <v>1796</v>
      </c>
    </row>
    <row r="69" spans="3:75" x14ac:dyDescent="0.2">
      <c r="C69" s="1" t="s">
        <v>1798</v>
      </c>
      <c r="N69" s="1" t="s">
        <v>1799</v>
      </c>
      <c r="Y69" s="1" t="s">
        <v>263</v>
      </c>
      <c r="AI69" s="1" t="s">
        <v>261</v>
      </c>
      <c r="AS69" s="1" t="s">
        <v>2216</v>
      </c>
      <c r="BC69" s="1" t="s">
        <v>261</v>
      </c>
      <c r="BM69" s="1" t="s">
        <v>263</v>
      </c>
    </row>
    <row r="70" spans="3:75" x14ac:dyDescent="0.2">
      <c r="C70" s="1" t="s">
        <v>1799</v>
      </c>
      <c r="N70" s="1" t="s">
        <v>1800</v>
      </c>
      <c r="Y70" s="1" t="s">
        <v>264</v>
      </c>
      <c r="AI70" s="1" t="s">
        <v>262</v>
      </c>
      <c r="AS70" s="1" t="s">
        <v>260</v>
      </c>
      <c r="BC70" s="1" t="s">
        <v>262</v>
      </c>
      <c r="BM70" s="1" t="s">
        <v>264</v>
      </c>
      <c r="BW70" s="1" t="s">
        <v>266</v>
      </c>
    </row>
    <row r="71" spans="3:75" x14ac:dyDescent="0.2">
      <c r="C71" s="1" t="s">
        <v>1800</v>
      </c>
      <c r="N71" s="1" t="s">
        <v>1801</v>
      </c>
      <c r="Y71" s="1" t="s">
        <v>265</v>
      </c>
      <c r="AI71" s="1" t="s">
        <v>263</v>
      </c>
      <c r="AS71" s="1" t="s">
        <v>264</v>
      </c>
      <c r="BC71" s="1" t="s">
        <v>263</v>
      </c>
      <c r="BM71" s="1" t="s">
        <v>265</v>
      </c>
      <c r="BW71" s="1" t="s">
        <v>267</v>
      </c>
    </row>
    <row r="72" spans="3:75" x14ac:dyDescent="0.2">
      <c r="C72" s="1" t="s">
        <v>1801</v>
      </c>
      <c r="N72" s="1" t="s">
        <v>1802</v>
      </c>
      <c r="Y72" s="1" t="s">
        <v>2215</v>
      </c>
      <c r="AI72" s="1" t="s">
        <v>264</v>
      </c>
      <c r="AS72" s="1" t="s">
        <v>2213</v>
      </c>
      <c r="BC72" s="1" t="s">
        <v>264</v>
      </c>
      <c r="BM72" s="1" t="s">
        <v>2215</v>
      </c>
      <c r="BW72" s="1" t="s">
        <v>268</v>
      </c>
    </row>
    <row r="73" spans="3:75" x14ac:dyDescent="0.2">
      <c r="C73" s="1" t="s">
        <v>1802</v>
      </c>
      <c r="N73" s="1" t="s">
        <v>1803</v>
      </c>
      <c r="Y73" s="1" t="s">
        <v>2216</v>
      </c>
      <c r="AI73" s="1" t="s">
        <v>265</v>
      </c>
      <c r="AS73" s="1" t="s">
        <v>257</v>
      </c>
      <c r="BC73" s="1" t="s">
        <v>265</v>
      </c>
      <c r="BM73" s="1" t="s">
        <v>2216</v>
      </c>
      <c r="BW73" s="1" t="s">
        <v>269</v>
      </c>
    </row>
    <row r="74" spans="3:75" x14ac:dyDescent="0.2">
      <c r="C74" s="1" t="s">
        <v>1803</v>
      </c>
      <c r="N74" s="1" t="s">
        <v>1804</v>
      </c>
      <c r="BW74" s="1" t="s">
        <v>270</v>
      </c>
    </row>
    <row r="75" spans="3:75" x14ac:dyDescent="0.2">
      <c r="C75" s="1" t="s">
        <v>1804</v>
      </c>
      <c r="N75" s="1" t="s">
        <v>1805</v>
      </c>
      <c r="Y75" s="2" t="s">
        <v>2592</v>
      </c>
      <c r="AI75" s="2" t="s">
        <v>2601</v>
      </c>
      <c r="AS75" s="2" t="s">
        <v>2727</v>
      </c>
      <c r="BC75" s="2" t="s">
        <v>2601</v>
      </c>
      <c r="BM75" s="2" t="s">
        <v>2955</v>
      </c>
      <c r="BW75" s="1" t="s">
        <v>271</v>
      </c>
    </row>
    <row r="76" spans="3:75" x14ac:dyDescent="0.2">
      <c r="C76" s="1" t="s">
        <v>1805</v>
      </c>
      <c r="N76" s="1" t="s">
        <v>1806</v>
      </c>
      <c r="Y76" s="1" t="s">
        <v>266</v>
      </c>
      <c r="AI76" s="1" t="s">
        <v>266</v>
      </c>
      <c r="AS76" s="1" t="s">
        <v>266</v>
      </c>
      <c r="BC76" s="1" t="s">
        <v>266</v>
      </c>
      <c r="BM76" s="1" t="s">
        <v>266</v>
      </c>
      <c r="BW76" s="1" t="s">
        <v>272</v>
      </c>
    </row>
    <row r="77" spans="3:75" x14ac:dyDescent="0.2">
      <c r="C77" s="1" t="s">
        <v>1806</v>
      </c>
      <c r="N77" s="1" t="s">
        <v>1807</v>
      </c>
      <c r="Y77" s="1" t="s">
        <v>2217</v>
      </c>
      <c r="AI77" s="1" t="s">
        <v>267</v>
      </c>
      <c r="AS77" s="1" t="s">
        <v>270</v>
      </c>
      <c r="BC77" s="1" t="s">
        <v>267</v>
      </c>
      <c r="BM77" s="1" t="s">
        <v>2217</v>
      </c>
      <c r="BW77" s="1" t="s">
        <v>273</v>
      </c>
    </row>
    <row r="78" spans="3:75" x14ac:dyDescent="0.2">
      <c r="C78" s="1" t="s">
        <v>1807</v>
      </c>
      <c r="N78" s="2" t="s">
        <v>1886</v>
      </c>
      <c r="Y78" s="1" t="s">
        <v>2218</v>
      </c>
      <c r="AI78" s="1" t="s">
        <v>268</v>
      </c>
      <c r="AS78" s="1" t="s">
        <v>2728</v>
      </c>
      <c r="BC78" s="1" t="s">
        <v>268</v>
      </c>
      <c r="BM78" s="1" t="s">
        <v>2218</v>
      </c>
      <c r="BW78" s="1" t="s">
        <v>275</v>
      </c>
    </row>
    <row r="79" spans="3:75" x14ac:dyDescent="0.2">
      <c r="C79" s="2" t="s">
        <v>1797</v>
      </c>
      <c r="N79" s="1" t="s">
        <v>1808</v>
      </c>
      <c r="Y79" s="1" t="s">
        <v>268</v>
      </c>
      <c r="AI79" s="1" t="s">
        <v>269</v>
      </c>
      <c r="AS79" s="1" t="s">
        <v>2217</v>
      </c>
      <c r="BC79" s="1" t="s">
        <v>269</v>
      </c>
      <c r="BM79" s="1" t="s">
        <v>268</v>
      </c>
      <c r="BW79" s="1" t="s">
        <v>2969</v>
      </c>
    </row>
    <row r="80" spans="3:75" x14ac:dyDescent="0.2">
      <c r="C80" s="1" t="s">
        <v>1808</v>
      </c>
      <c r="N80" s="1" t="s">
        <v>1809</v>
      </c>
      <c r="Y80" s="1" t="s">
        <v>2219</v>
      </c>
      <c r="AI80" s="1" t="s">
        <v>270</v>
      </c>
      <c r="AS80" s="1" t="s">
        <v>2222</v>
      </c>
      <c r="BC80" s="1" t="s">
        <v>270</v>
      </c>
      <c r="BM80" s="1" t="s">
        <v>2219</v>
      </c>
    </row>
    <row r="81" spans="3:75" x14ac:dyDescent="0.2">
      <c r="C81" s="1" t="s">
        <v>1809</v>
      </c>
      <c r="N81" s="1" t="s">
        <v>1887</v>
      </c>
      <c r="Y81" s="1" t="s">
        <v>2220</v>
      </c>
      <c r="AI81" s="1" t="s">
        <v>271</v>
      </c>
      <c r="AS81" s="1" t="s">
        <v>275</v>
      </c>
      <c r="BC81" s="1" t="s">
        <v>271</v>
      </c>
      <c r="BM81" s="1" t="s">
        <v>2220</v>
      </c>
      <c r="BW81" s="1" t="s">
        <v>192</v>
      </c>
    </row>
    <row r="82" spans="3:75" x14ac:dyDescent="0.2">
      <c r="C82" s="1" t="s">
        <v>1810</v>
      </c>
      <c r="N82" s="1" t="s">
        <v>1811</v>
      </c>
      <c r="Y82" s="1" t="s">
        <v>2221</v>
      </c>
      <c r="AI82" s="1" t="s">
        <v>272</v>
      </c>
      <c r="AS82" s="1" t="s">
        <v>2729</v>
      </c>
      <c r="BC82" s="1" t="s">
        <v>272</v>
      </c>
      <c r="BM82" s="1" t="s">
        <v>2221</v>
      </c>
      <c r="BW82" s="1" t="s">
        <v>2243</v>
      </c>
    </row>
    <row r="83" spans="3:75" x14ac:dyDescent="0.2">
      <c r="C83" s="1" t="s">
        <v>1811</v>
      </c>
      <c r="N83" s="1" t="s">
        <v>1812</v>
      </c>
      <c r="Y83" s="1" t="s">
        <v>270</v>
      </c>
      <c r="AI83" s="1" t="s">
        <v>273</v>
      </c>
      <c r="AS83" s="1" t="s">
        <v>2730</v>
      </c>
      <c r="BC83" s="1" t="s">
        <v>273</v>
      </c>
      <c r="BM83" s="1" t="s">
        <v>270</v>
      </c>
      <c r="BW83" s="1" t="s">
        <v>279</v>
      </c>
    </row>
    <row r="84" spans="3:75" x14ac:dyDescent="0.2">
      <c r="C84" s="1" t="s">
        <v>1812</v>
      </c>
      <c r="N84" s="1" t="s">
        <v>1813</v>
      </c>
      <c r="Y84" s="1" t="s">
        <v>275</v>
      </c>
      <c r="AI84" s="1" t="s">
        <v>275</v>
      </c>
      <c r="AS84" s="1" t="s">
        <v>2221</v>
      </c>
      <c r="BC84" s="1" t="s">
        <v>275</v>
      </c>
      <c r="BM84" s="1" t="s">
        <v>275</v>
      </c>
      <c r="BW84" s="1" t="s">
        <v>280</v>
      </c>
    </row>
    <row r="85" spans="3:75" x14ac:dyDescent="0.2">
      <c r="C85" s="1" t="s">
        <v>1813</v>
      </c>
      <c r="N85" s="1" t="s">
        <v>1814</v>
      </c>
      <c r="Y85" s="1" t="s">
        <v>2222</v>
      </c>
      <c r="AI85" s="1" t="s">
        <v>2222</v>
      </c>
      <c r="AS85" s="1" t="s">
        <v>2220</v>
      </c>
      <c r="BC85" s="1" t="s">
        <v>2222</v>
      </c>
      <c r="BM85" s="1" t="s">
        <v>2222</v>
      </c>
      <c r="BW85" s="1" t="s">
        <v>281</v>
      </c>
    </row>
    <row r="86" spans="3:75" x14ac:dyDescent="0.2">
      <c r="C86" s="1" t="s">
        <v>1814</v>
      </c>
      <c r="N86" s="1" t="s">
        <v>1815</v>
      </c>
      <c r="BW86" s="1" t="s">
        <v>282</v>
      </c>
    </row>
    <row r="87" spans="3:75" x14ac:dyDescent="0.2">
      <c r="C87" s="1" t="s">
        <v>1815</v>
      </c>
      <c r="N87" s="1" t="s">
        <v>1816</v>
      </c>
      <c r="Y87" s="2" t="s">
        <v>2593</v>
      </c>
      <c r="AI87" s="2" t="s">
        <v>2593</v>
      </c>
      <c r="AS87" s="2" t="s">
        <v>2593</v>
      </c>
      <c r="BC87" s="2" t="s">
        <v>2593</v>
      </c>
      <c r="BM87" s="2" t="s">
        <v>2956</v>
      </c>
      <c r="BW87" s="1" t="s">
        <v>283</v>
      </c>
    </row>
    <row r="88" spans="3:75" x14ac:dyDescent="0.2">
      <c r="C88" s="1" t="s">
        <v>1816</v>
      </c>
      <c r="N88" s="1" t="s">
        <v>1817</v>
      </c>
      <c r="Y88" s="1" t="s">
        <v>277</v>
      </c>
      <c r="AI88" s="1" t="s">
        <v>192</v>
      </c>
      <c r="AS88" s="1" t="s">
        <v>2223</v>
      </c>
      <c r="BC88" s="1" t="s">
        <v>192</v>
      </c>
      <c r="BM88" s="1" t="s">
        <v>2957</v>
      </c>
      <c r="BW88" s="1" t="s">
        <v>2244</v>
      </c>
    </row>
    <row r="89" spans="3:75" x14ac:dyDescent="0.2">
      <c r="C89" s="1" t="s">
        <v>1817</v>
      </c>
      <c r="N89" s="2" t="s">
        <v>1888</v>
      </c>
      <c r="Y89" s="1" t="s">
        <v>2223</v>
      </c>
      <c r="AI89" s="1" t="s">
        <v>2243</v>
      </c>
      <c r="AS89" s="1" t="s">
        <v>2731</v>
      </c>
      <c r="BC89" s="1" t="s">
        <v>2243</v>
      </c>
      <c r="BM89" s="1" t="s">
        <v>2732</v>
      </c>
      <c r="BW89" s="1" t="s">
        <v>277</v>
      </c>
    </row>
    <row r="90" spans="3:75" x14ac:dyDescent="0.2">
      <c r="C90" s="2" t="s">
        <v>1818</v>
      </c>
      <c r="N90" s="1" t="s">
        <v>1819</v>
      </c>
      <c r="Y90" s="1" t="s">
        <v>2224</v>
      </c>
      <c r="AI90" s="1" t="s">
        <v>279</v>
      </c>
      <c r="AS90" s="1" t="s">
        <v>2732</v>
      </c>
      <c r="BC90" s="1" t="s">
        <v>279</v>
      </c>
      <c r="BM90" s="1" t="s">
        <v>2244</v>
      </c>
      <c r="BW90" s="1" t="s">
        <v>1887</v>
      </c>
    </row>
    <row r="91" spans="3:75" x14ac:dyDescent="0.2">
      <c r="C91" s="1" t="s">
        <v>1819</v>
      </c>
      <c r="N91" s="1" t="s">
        <v>1889</v>
      </c>
      <c r="Y91" s="1" t="s">
        <v>2225</v>
      </c>
      <c r="AI91" s="1" t="s">
        <v>280</v>
      </c>
      <c r="AS91" s="1" t="s">
        <v>347</v>
      </c>
      <c r="BC91" s="1" t="s">
        <v>280</v>
      </c>
      <c r="BM91" s="1" t="s">
        <v>2243</v>
      </c>
    </row>
    <row r="92" spans="3:75" x14ac:dyDescent="0.2">
      <c r="C92" s="1" t="s">
        <v>1820</v>
      </c>
      <c r="N92" s="1" t="s">
        <v>1824</v>
      </c>
      <c r="Y92" s="1" t="s">
        <v>284</v>
      </c>
      <c r="AI92" s="1" t="s">
        <v>281</v>
      </c>
      <c r="AS92" s="1" t="s">
        <v>2225</v>
      </c>
      <c r="BC92" s="1" t="s">
        <v>281</v>
      </c>
      <c r="BM92" s="1" t="s">
        <v>277</v>
      </c>
      <c r="BW92" s="1" t="s">
        <v>285</v>
      </c>
    </row>
    <row r="93" spans="3:75" x14ac:dyDescent="0.2">
      <c r="C93" s="1" t="s">
        <v>1821</v>
      </c>
      <c r="N93" s="1" t="s">
        <v>1890</v>
      </c>
      <c r="Y93" s="1" t="s">
        <v>278</v>
      </c>
      <c r="AI93" s="1" t="s">
        <v>282</v>
      </c>
      <c r="AS93" s="1" t="s">
        <v>278</v>
      </c>
      <c r="BC93" s="1" t="s">
        <v>282</v>
      </c>
      <c r="BM93" s="1" t="s">
        <v>2225</v>
      </c>
      <c r="BW93" s="1" t="s">
        <v>195</v>
      </c>
    </row>
    <row r="94" spans="3:75" x14ac:dyDescent="0.2">
      <c r="C94" s="1" t="s">
        <v>1822</v>
      </c>
      <c r="N94" s="1" t="s">
        <v>1891</v>
      </c>
      <c r="Y94" s="1" t="s">
        <v>192</v>
      </c>
      <c r="AI94" s="1" t="s">
        <v>283</v>
      </c>
      <c r="AS94" s="1" t="s">
        <v>192</v>
      </c>
      <c r="BC94" s="1" t="s">
        <v>283</v>
      </c>
      <c r="BM94" s="1" t="s">
        <v>347</v>
      </c>
      <c r="BW94" s="1" t="s">
        <v>2226</v>
      </c>
    </row>
    <row r="95" spans="3:75" x14ac:dyDescent="0.2">
      <c r="C95" s="1" t="s">
        <v>1823</v>
      </c>
      <c r="N95" s="1" t="s">
        <v>1825</v>
      </c>
      <c r="Y95" s="1" t="s">
        <v>279</v>
      </c>
      <c r="AI95" s="1" t="s">
        <v>2244</v>
      </c>
      <c r="AS95" s="1" t="s">
        <v>284</v>
      </c>
      <c r="BC95" s="1" t="s">
        <v>2244</v>
      </c>
      <c r="BM95" s="1" t="s">
        <v>2223</v>
      </c>
      <c r="BW95" s="1" t="s">
        <v>2227</v>
      </c>
    </row>
    <row r="96" spans="3:75" x14ac:dyDescent="0.2">
      <c r="C96" s="1" t="s">
        <v>1824</v>
      </c>
      <c r="N96" s="1" t="s">
        <v>1821</v>
      </c>
      <c r="Y96" s="1" t="s">
        <v>280</v>
      </c>
      <c r="AI96" s="1" t="s">
        <v>277</v>
      </c>
      <c r="AS96" s="1" t="s">
        <v>279</v>
      </c>
      <c r="BC96" s="1" t="s">
        <v>277</v>
      </c>
      <c r="BM96" s="1" t="s">
        <v>2958</v>
      </c>
      <c r="BW96" s="1" t="s">
        <v>2245</v>
      </c>
    </row>
    <row r="97" spans="3:75" x14ac:dyDescent="0.2">
      <c r="C97" s="1" t="s">
        <v>1825</v>
      </c>
      <c r="N97" s="1" t="s">
        <v>1822</v>
      </c>
      <c r="Y97" s="1" t="s">
        <v>281</v>
      </c>
      <c r="AI97" s="1" t="s">
        <v>347</v>
      </c>
      <c r="AS97" s="1" t="s">
        <v>280</v>
      </c>
      <c r="BC97" s="1" t="s">
        <v>347</v>
      </c>
      <c r="BM97" s="1" t="s">
        <v>2959</v>
      </c>
      <c r="BW97" s="1" t="s">
        <v>2228</v>
      </c>
    </row>
    <row r="98" spans="3:75" x14ac:dyDescent="0.2">
      <c r="C98" s="1" t="s">
        <v>1826</v>
      </c>
      <c r="N98" s="1" t="s">
        <v>1826</v>
      </c>
      <c r="BW98" s="1" t="s">
        <v>2246</v>
      </c>
    </row>
    <row r="99" spans="3:75" x14ac:dyDescent="0.2">
      <c r="C99" s="1" t="s">
        <v>1827</v>
      </c>
      <c r="N99" s="1" t="s">
        <v>1827</v>
      </c>
      <c r="Y99" s="2" t="s">
        <v>2594</v>
      </c>
      <c r="AI99" s="2" t="s">
        <v>2594</v>
      </c>
      <c r="AS99" s="2" t="s">
        <v>2594</v>
      </c>
      <c r="BC99" s="2" t="s">
        <v>2594</v>
      </c>
      <c r="BM99" s="2" t="s">
        <v>2960</v>
      </c>
      <c r="BW99" s="1" t="s">
        <v>2247</v>
      </c>
    </row>
    <row r="100" spans="3:75" x14ac:dyDescent="0.2">
      <c r="C100" s="1" t="s">
        <v>1828</v>
      </c>
      <c r="N100" s="2" t="s">
        <v>1892</v>
      </c>
      <c r="Y100" s="1" t="s">
        <v>285</v>
      </c>
      <c r="AI100" s="1" t="s">
        <v>285</v>
      </c>
      <c r="AS100" s="1" t="s">
        <v>285</v>
      </c>
      <c r="BC100" s="1" t="s">
        <v>285</v>
      </c>
      <c r="BM100" s="1" t="s">
        <v>285</v>
      </c>
      <c r="BW100" s="1" t="s">
        <v>290</v>
      </c>
    </row>
    <row r="101" spans="3:75" x14ac:dyDescent="0.2">
      <c r="C101" s="2" t="s">
        <v>1829</v>
      </c>
      <c r="N101" s="1" t="s">
        <v>1837</v>
      </c>
      <c r="Y101" s="1" t="s">
        <v>349</v>
      </c>
      <c r="AI101" s="1" t="s">
        <v>195</v>
      </c>
      <c r="AS101" s="1" t="s">
        <v>349</v>
      </c>
      <c r="BC101" s="1" t="s">
        <v>195</v>
      </c>
      <c r="BM101" s="1" t="s">
        <v>349</v>
      </c>
      <c r="BW101" s="1" t="s">
        <v>1827</v>
      </c>
    </row>
    <row r="102" spans="3:75" x14ac:dyDescent="0.2">
      <c r="C102" s="1" t="s">
        <v>1830</v>
      </c>
      <c r="N102" s="1" t="s">
        <v>1833</v>
      </c>
      <c r="Y102" s="1" t="s">
        <v>2226</v>
      </c>
      <c r="AI102" s="1" t="s">
        <v>2226</v>
      </c>
      <c r="AS102" s="1" t="s">
        <v>2226</v>
      </c>
      <c r="BC102" s="1" t="s">
        <v>2226</v>
      </c>
      <c r="BM102" s="1" t="s">
        <v>2226</v>
      </c>
    </row>
    <row r="103" spans="3:75" x14ac:dyDescent="0.2">
      <c r="C103" s="1" t="s">
        <v>1831</v>
      </c>
      <c r="N103" s="1" t="s">
        <v>1838</v>
      </c>
      <c r="Y103" s="1" t="s">
        <v>2227</v>
      </c>
      <c r="AI103" s="1" t="s">
        <v>2227</v>
      </c>
      <c r="AS103" s="1" t="s">
        <v>2227</v>
      </c>
      <c r="BC103" s="1" t="s">
        <v>2227</v>
      </c>
      <c r="BM103" s="1" t="s">
        <v>2227</v>
      </c>
      <c r="BW103" s="1" t="s">
        <v>297</v>
      </c>
    </row>
    <row r="104" spans="3:75" x14ac:dyDescent="0.2">
      <c r="C104" s="1" t="s">
        <v>1832</v>
      </c>
      <c r="N104" s="1" t="s">
        <v>1835</v>
      </c>
      <c r="Y104" s="1" t="s">
        <v>2228</v>
      </c>
      <c r="AI104" s="1" t="s">
        <v>2245</v>
      </c>
      <c r="AS104" s="1" t="s">
        <v>2228</v>
      </c>
      <c r="BC104" s="1" t="s">
        <v>2245</v>
      </c>
      <c r="BM104" s="1" t="s">
        <v>2228</v>
      </c>
      <c r="BW104" s="1" t="s">
        <v>293</v>
      </c>
    </row>
    <row r="105" spans="3:75" x14ac:dyDescent="0.2">
      <c r="C105" s="1" t="s">
        <v>1833</v>
      </c>
      <c r="N105" s="1" t="s">
        <v>1834</v>
      </c>
      <c r="Y105" s="1" t="s">
        <v>2229</v>
      </c>
      <c r="AI105" s="1" t="s">
        <v>2228</v>
      </c>
      <c r="AS105" s="1" t="s">
        <v>2229</v>
      </c>
      <c r="BC105" s="1" t="s">
        <v>2228</v>
      </c>
      <c r="BM105" s="1" t="s">
        <v>2229</v>
      </c>
      <c r="BW105" s="1" t="s">
        <v>298</v>
      </c>
    </row>
    <row r="106" spans="3:75" x14ac:dyDescent="0.2">
      <c r="C106" s="1" t="s">
        <v>1834</v>
      </c>
      <c r="N106" s="1" t="s">
        <v>1832</v>
      </c>
      <c r="Y106" s="1" t="s">
        <v>194</v>
      </c>
      <c r="AI106" s="1" t="s">
        <v>2246</v>
      </c>
      <c r="AS106" s="1" t="s">
        <v>194</v>
      </c>
      <c r="BC106" s="1" t="s">
        <v>2246</v>
      </c>
      <c r="BM106" s="1" t="s">
        <v>194</v>
      </c>
      <c r="BW106" s="1" t="s">
        <v>295</v>
      </c>
    </row>
    <row r="107" spans="3:75" x14ac:dyDescent="0.2">
      <c r="C107" s="1" t="s">
        <v>1835</v>
      </c>
      <c r="N107" s="1" t="s">
        <v>1830</v>
      </c>
      <c r="Y107" s="1" t="s">
        <v>351</v>
      </c>
      <c r="AI107" s="1" t="s">
        <v>2247</v>
      </c>
      <c r="AS107" s="1" t="s">
        <v>351</v>
      </c>
      <c r="BC107" s="1" t="s">
        <v>2247</v>
      </c>
      <c r="BM107" s="1" t="s">
        <v>351</v>
      </c>
      <c r="BW107" s="1" t="s">
        <v>294</v>
      </c>
    </row>
    <row r="108" spans="3:75" x14ac:dyDescent="0.2">
      <c r="C108" s="1" t="s">
        <v>1836</v>
      </c>
      <c r="N108" s="1" t="s">
        <v>1831</v>
      </c>
      <c r="Y108" s="1" t="s">
        <v>350</v>
      </c>
      <c r="AI108" s="1" t="s">
        <v>290</v>
      </c>
      <c r="AS108" s="1" t="s">
        <v>350</v>
      </c>
      <c r="BC108" s="1" t="s">
        <v>290</v>
      </c>
      <c r="BM108" s="1" t="s">
        <v>350</v>
      </c>
      <c r="BW108" s="1" t="s">
        <v>292</v>
      </c>
    </row>
    <row r="109" spans="3:75" x14ac:dyDescent="0.2">
      <c r="C109" s="1" t="s">
        <v>1837</v>
      </c>
      <c r="N109" s="1" t="s">
        <v>1836</v>
      </c>
      <c r="Y109" s="1" t="s">
        <v>287</v>
      </c>
      <c r="AI109" s="1" t="s">
        <v>289</v>
      </c>
      <c r="AS109" s="1" t="s">
        <v>287</v>
      </c>
      <c r="BC109" s="1" t="s">
        <v>289</v>
      </c>
      <c r="BM109" s="1" t="s">
        <v>287</v>
      </c>
      <c r="BW109" s="1" t="s">
        <v>207</v>
      </c>
    </row>
    <row r="110" spans="3:75" x14ac:dyDescent="0.2">
      <c r="C110" s="1" t="s">
        <v>1838</v>
      </c>
      <c r="N110" s="1" t="s">
        <v>1893</v>
      </c>
      <c r="BW110" s="1" t="s">
        <v>291</v>
      </c>
    </row>
    <row r="111" spans="3:75" x14ac:dyDescent="0.2">
      <c r="C111" s="1" t="s">
        <v>1839</v>
      </c>
      <c r="N111" s="2" t="s">
        <v>1894</v>
      </c>
      <c r="Y111" s="2" t="s">
        <v>2595</v>
      </c>
      <c r="AI111" s="2" t="s">
        <v>2595</v>
      </c>
      <c r="AS111" s="2" t="s">
        <v>2595</v>
      </c>
      <c r="BC111" s="2" t="s">
        <v>2595</v>
      </c>
      <c r="BM111" s="2" t="s">
        <v>2961</v>
      </c>
      <c r="BW111" s="1" t="s">
        <v>296</v>
      </c>
    </row>
    <row r="112" spans="3:75" x14ac:dyDescent="0.2">
      <c r="C112" s="2" t="s">
        <v>1840</v>
      </c>
      <c r="N112" s="1" t="s">
        <v>1842</v>
      </c>
      <c r="Y112" s="1" t="s">
        <v>2230</v>
      </c>
      <c r="AI112" s="1" t="s">
        <v>297</v>
      </c>
      <c r="AS112" s="1" t="s">
        <v>2230</v>
      </c>
      <c r="BC112" s="1" t="s">
        <v>297</v>
      </c>
      <c r="BM112" s="1" t="s">
        <v>2230</v>
      </c>
      <c r="BW112" s="1" t="s">
        <v>2970</v>
      </c>
    </row>
    <row r="113" spans="3:75" x14ac:dyDescent="0.2">
      <c r="C113" s="1" t="s">
        <v>1841</v>
      </c>
      <c r="N113" s="1" t="s">
        <v>1844</v>
      </c>
      <c r="Y113" s="1" t="s">
        <v>296</v>
      </c>
      <c r="AI113" s="1" t="s">
        <v>293</v>
      </c>
      <c r="AS113" s="1" t="s">
        <v>293</v>
      </c>
      <c r="BC113" s="1" t="s">
        <v>293</v>
      </c>
      <c r="BM113" s="1" t="s">
        <v>292</v>
      </c>
    </row>
    <row r="114" spans="3:75" x14ac:dyDescent="0.2">
      <c r="C114" s="1" t="s">
        <v>1842</v>
      </c>
      <c r="N114" s="1" t="s">
        <v>1846</v>
      </c>
      <c r="Y114" s="1" t="s">
        <v>293</v>
      </c>
      <c r="AI114" s="1" t="s">
        <v>298</v>
      </c>
      <c r="AS114" s="1" t="s">
        <v>295</v>
      </c>
      <c r="BC114" s="1" t="s">
        <v>298</v>
      </c>
      <c r="BM114" s="1" t="s">
        <v>297</v>
      </c>
      <c r="BW114" s="1" t="s">
        <v>300</v>
      </c>
    </row>
    <row r="115" spans="3:75" x14ac:dyDescent="0.2">
      <c r="C115" s="1" t="s">
        <v>1843</v>
      </c>
      <c r="N115" s="1" t="s">
        <v>1849</v>
      </c>
      <c r="Y115" s="1" t="s">
        <v>295</v>
      </c>
      <c r="AI115" s="1" t="s">
        <v>295</v>
      </c>
      <c r="AS115" s="1" t="s">
        <v>294</v>
      </c>
      <c r="BC115" s="1" t="s">
        <v>295</v>
      </c>
      <c r="BM115" s="1" t="s">
        <v>298</v>
      </c>
      <c r="BW115" s="1" t="s">
        <v>307</v>
      </c>
    </row>
    <row r="116" spans="3:75" x14ac:dyDescent="0.2">
      <c r="C116" s="1" t="s">
        <v>1844</v>
      </c>
      <c r="N116" s="1" t="s">
        <v>1841</v>
      </c>
      <c r="Y116" s="1" t="s">
        <v>294</v>
      </c>
      <c r="AI116" s="1" t="s">
        <v>294</v>
      </c>
      <c r="AS116" s="1" t="s">
        <v>292</v>
      </c>
      <c r="BC116" s="1" t="s">
        <v>294</v>
      </c>
      <c r="BM116" s="1" t="s">
        <v>2231</v>
      </c>
      <c r="BW116" s="1" t="s">
        <v>304</v>
      </c>
    </row>
    <row r="117" spans="3:75" x14ac:dyDescent="0.2">
      <c r="C117" s="1" t="s">
        <v>1845</v>
      </c>
      <c r="N117" s="1" t="s">
        <v>1848</v>
      </c>
      <c r="Y117" s="1" t="s">
        <v>291</v>
      </c>
      <c r="AI117" s="1" t="s">
        <v>292</v>
      </c>
      <c r="AS117" s="1" t="s">
        <v>296</v>
      </c>
      <c r="BC117" s="1" t="s">
        <v>292</v>
      </c>
      <c r="BM117" s="1" t="s">
        <v>291</v>
      </c>
      <c r="BW117" s="1" t="s">
        <v>302</v>
      </c>
    </row>
    <row r="118" spans="3:75" x14ac:dyDescent="0.2">
      <c r="C118" s="1" t="s">
        <v>1846</v>
      </c>
      <c r="N118" s="1" t="s">
        <v>1895</v>
      </c>
      <c r="Y118" s="1" t="s">
        <v>2231</v>
      </c>
      <c r="AI118" s="1" t="s">
        <v>207</v>
      </c>
      <c r="AS118" s="1" t="s">
        <v>291</v>
      </c>
      <c r="BC118" s="1" t="s">
        <v>207</v>
      </c>
      <c r="BM118" s="1" t="s">
        <v>296</v>
      </c>
      <c r="BW118" s="1" t="s">
        <v>299</v>
      </c>
    </row>
    <row r="119" spans="3:75" x14ac:dyDescent="0.2">
      <c r="C119" s="1" t="s">
        <v>1847</v>
      </c>
      <c r="N119" s="1" t="s">
        <v>1896</v>
      </c>
      <c r="Y119" s="1" t="s">
        <v>298</v>
      </c>
      <c r="AI119" s="1" t="s">
        <v>291</v>
      </c>
      <c r="AS119" s="1" t="s">
        <v>2231</v>
      </c>
      <c r="BC119" s="1" t="s">
        <v>291</v>
      </c>
      <c r="BM119" s="1" t="s">
        <v>294</v>
      </c>
      <c r="BW119" s="1" t="s">
        <v>306</v>
      </c>
    </row>
    <row r="120" spans="3:75" x14ac:dyDescent="0.2">
      <c r="C120" s="1" t="s">
        <v>1848</v>
      </c>
      <c r="N120" s="1" t="s">
        <v>1897</v>
      </c>
      <c r="Y120" s="1" t="s">
        <v>297</v>
      </c>
      <c r="AI120" s="1" t="s">
        <v>296</v>
      </c>
      <c r="AS120" s="1" t="s">
        <v>298</v>
      </c>
      <c r="BC120" s="1" t="s">
        <v>296</v>
      </c>
      <c r="BM120" s="1" t="s">
        <v>295</v>
      </c>
      <c r="BW120" s="1" t="s">
        <v>354</v>
      </c>
    </row>
    <row r="121" spans="3:75" x14ac:dyDescent="0.2">
      <c r="C121" s="1" t="s">
        <v>1849</v>
      </c>
      <c r="N121" s="1" t="s">
        <v>1898</v>
      </c>
      <c r="Y121" s="1" t="s">
        <v>292</v>
      </c>
      <c r="AI121" s="1" t="s">
        <v>2248</v>
      </c>
      <c r="AS121" s="1" t="s">
        <v>297</v>
      </c>
      <c r="BC121" s="1" t="s">
        <v>2248</v>
      </c>
      <c r="BM121" s="1" t="s">
        <v>293</v>
      </c>
      <c r="BW121" s="1" t="s">
        <v>2971</v>
      </c>
    </row>
    <row r="122" spans="3:75" x14ac:dyDescent="0.2">
      <c r="C122" s="1" t="s">
        <v>1850</v>
      </c>
      <c r="N122" s="2" t="s">
        <v>1899</v>
      </c>
      <c r="BW122" s="1" t="s">
        <v>355</v>
      </c>
    </row>
    <row r="123" spans="3:75" x14ac:dyDescent="0.2">
      <c r="C123" s="2" t="s">
        <v>1851</v>
      </c>
      <c r="N123" s="1" t="s">
        <v>1852</v>
      </c>
      <c r="Y123" s="2" t="s">
        <v>2596</v>
      </c>
      <c r="AI123" s="2" t="s">
        <v>2596</v>
      </c>
      <c r="AS123" s="2" t="s">
        <v>2596</v>
      </c>
      <c r="BC123" s="2" t="s">
        <v>2596</v>
      </c>
      <c r="BM123" s="2" t="s">
        <v>2962</v>
      </c>
      <c r="BW123" s="1" t="s">
        <v>1898</v>
      </c>
    </row>
    <row r="124" spans="3:75" x14ac:dyDescent="0.2">
      <c r="C124" s="1" t="s">
        <v>1852</v>
      </c>
      <c r="N124" s="1" t="s">
        <v>1900</v>
      </c>
      <c r="Y124" s="1" t="s">
        <v>300</v>
      </c>
      <c r="AI124" s="1" t="s">
        <v>300</v>
      </c>
      <c r="AS124" s="1" t="s">
        <v>299</v>
      </c>
      <c r="BC124" s="1" t="s">
        <v>300</v>
      </c>
      <c r="BM124" s="1" t="s">
        <v>306</v>
      </c>
    </row>
    <row r="125" spans="3:75" x14ac:dyDescent="0.2">
      <c r="C125" s="1" t="s">
        <v>1853</v>
      </c>
      <c r="N125" s="1" t="s">
        <v>1854</v>
      </c>
      <c r="Y125" s="1" t="s">
        <v>302</v>
      </c>
      <c r="AI125" s="1" t="s">
        <v>307</v>
      </c>
      <c r="AS125" s="1" t="s">
        <v>306</v>
      </c>
      <c r="BC125" s="1" t="s">
        <v>307</v>
      </c>
      <c r="BM125" s="1" t="s">
        <v>299</v>
      </c>
    </row>
    <row r="126" spans="3:75" x14ac:dyDescent="0.2">
      <c r="C126" s="1" t="s">
        <v>1854</v>
      </c>
      <c r="N126" s="1" t="s">
        <v>1855</v>
      </c>
      <c r="Y126" s="1" t="s">
        <v>299</v>
      </c>
      <c r="AI126" s="1" t="s">
        <v>304</v>
      </c>
      <c r="AS126" s="1" t="s">
        <v>354</v>
      </c>
      <c r="BC126" s="1" t="s">
        <v>304</v>
      </c>
      <c r="BM126" s="1" t="s">
        <v>354</v>
      </c>
      <c r="BW126" s="1" t="s">
        <v>310</v>
      </c>
    </row>
    <row r="127" spans="3:75" x14ac:dyDescent="0.2">
      <c r="C127" s="1" t="s">
        <v>1855</v>
      </c>
      <c r="N127" s="1" t="s">
        <v>1856</v>
      </c>
      <c r="Y127" s="1" t="s">
        <v>304</v>
      </c>
      <c r="AI127" s="1" t="s">
        <v>302</v>
      </c>
      <c r="AS127" s="1" t="s">
        <v>302</v>
      </c>
      <c r="BC127" s="1" t="s">
        <v>302</v>
      </c>
      <c r="BM127" s="1" t="s">
        <v>300</v>
      </c>
      <c r="BW127" s="1" t="s">
        <v>311</v>
      </c>
    </row>
    <row r="128" spans="3:75" x14ac:dyDescent="0.2">
      <c r="C128" s="1" t="s">
        <v>1856</v>
      </c>
      <c r="N128" s="1" t="s">
        <v>1857</v>
      </c>
      <c r="Y128" s="1" t="s">
        <v>307</v>
      </c>
      <c r="AI128" s="1" t="s">
        <v>299</v>
      </c>
      <c r="AS128" s="1" t="s">
        <v>307</v>
      </c>
      <c r="BC128" s="1" t="s">
        <v>299</v>
      </c>
      <c r="BM128" s="1" t="s">
        <v>302</v>
      </c>
      <c r="BW128" s="1" t="s">
        <v>313</v>
      </c>
    </row>
    <row r="129" spans="3:75" x14ac:dyDescent="0.2">
      <c r="C129" s="1" t="s">
        <v>1857</v>
      </c>
      <c r="N129" s="1" t="s">
        <v>1859</v>
      </c>
      <c r="Y129" s="1" t="s">
        <v>354</v>
      </c>
      <c r="AI129" s="1" t="s">
        <v>306</v>
      </c>
      <c r="AS129" s="1" t="s">
        <v>304</v>
      </c>
      <c r="BC129" s="1" t="s">
        <v>306</v>
      </c>
      <c r="BM129" s="1" t="s">
        <v>307</v>
      </c>
      <c r="BW129" s="1" t="s">
        <v>314</v>
      </c>
    </row>
    <row r="130" spans="3:75" x14ac:dyDescent="0.2">
      <c r="C130" s="1" t="s">
        <v>1858</v>
      </c>
      <c r="N130" s="1" t="s">
        <v>1860</v>
      </c>
      <c r="Y130" s="1" t="s">
        <v>306</v>
      </c>
      <c r="AI130" s="1" t="s">
        <v>354</v>
      </c>
      <c r="AS130" s="1" t="s">
        <v>300</v>
      </c>
      <c r="BC130" s="1" t="s">
        <v>354</v>
      </c>
      <c r="BM130" s="1" t="s">
        <v>304</v>
      </c>
      <c r="BW130" s="1" t="s">
        <v>315</v>
      </c>
    </row>
    <row r="131" spans="3:75" x14ac:dyDescent="0.2">
      <c r="C131" s="1" t="s">
        <v>1859</v>
      </c>
      <c r="N131" s="1" t="s">
        <v>1858</v>
      </c>
      <c r="Y131" s="1" t="s">
        <v>2232</v>
      </c>
      <c r="AI131" s="1" t="s">
        <v>2249</v>
      </c>
      <c r="AS131" s="1" t="s">
        <v>2733</v>
      </c>
      <c r="BC131" s="1" t="s">
        <v>2249</v>
      </c>
      <c r="BM131" s="1" t="s">
        <v>2734</v>
      </c>
      <c r="BW131" s="1" t="s">
        <v>318</v>
      </c>
    </row>
    <row r="132" spans="3:75" x14ac:dyDescent="0.2">
      <c r="C132" s="1" t="s">
        <v>1860</v>
      </c>
      <c r="N132" s="1" t="s">
        <v>1861</v>
      </c>
      <c r="Y132" s="1" t="s">
        <v>2233</v>
      </c>
      <c r="AI132" s="1" t="s">
        <v>355</v>
      </c>
      <c r="AS132" s="1" t="s">
        <v>2734</v>
      </c>
      <c r="BC132" s="1" t="s">
        <v>355</v>
      </c>
      <c r="BM132" s="1" t="s">
        <v>2249</v>
      </c>
      <c r="BW132" s="1" t="s">
        <v>2250</v>
      </c>
    </row>
    <row r="133" spans="3:75" x14ac:dyDescent="0.2">
      <c r="C133" s="1" t="s">
        <v>1861</v>
      </c>
      <c r="N133" s="1" t="s">
        <v>1561</v>
      </c>
      <c r="Y133" s="1" t="s">
        <v>2234</v>
      </c>
      <c r="AI133" s="1" t="s">
        <v>357</v>
      </c>
      <c r="AS133" s="1" t="s">
        <v>2735</v>
      </c>
      <c r="BC133" s="1" t="s">
        <v>357</v>
      </c>
      <c r="BM133" s="1" t="s">
        <v>2963</v>
      </c>
      <c r="BW133" s="1" t="s">
        <v>2235</v>
      </c>
    </row>
    <row r="134" spans="3:75" x14ac:dyDescent="0.2">
      <c r="C134" s="1" t="s">
        <v>132</v>
      </c>
      <c r="N134" s="1"/>
      <c r="BW134" s="1" t="s">
        <v>2251</v>
      </c>
    </row>
    <row r="135" spans="3:75" x14ac:dyDescent="0.2">
      <c r="C135" s="2"/>
      <c r="N135" s="1"/>
      <c r="AS135" s="2" t="s">
        <v>2736</v>
      </c>
      <c r="BC135" s="2" t="s">
        <v>2736</v>
      </c>
      <c r="BM135" s="2" t="s">
        <v>2964</v>
      </c>
      <c r="BW135" s="1" t="s">
        <v>2972</v>
      </c>
    </row>
    <row r="136" spans="3:75" x14ac:dyDescent="0.2">
      <c r="C136" s="1"/>
      <c r="N136" s="1"/>
      <c r="AS136" s="1" t="s">
        <v>310</v>
      </c>
      <c r="BC136" s="1" t="s">
        <v>310</v>
      </c>
      <c r="BM136" s="1" t="s">
        <v>310</v>
      </c>
      <c r="BW136" s="1" t="s">
        <v>132</v>
      </c>
    </row>
    <row r="137" spans="3:75" x14ac:dyDescent="0.2">
      <c r="C137" s="1"/>
      <c r="N137" s="1"/>
      <c r="AS137" s="1" t="s">
        <v>2251</v>
      </c>
      <c r="BC137" s="1" t="s">
        <v>311</v>
      </c>
      <c r="BM137" s="1" t="s">
        <v>2965</v>
      </c>
    </row>
    <row r="138" spans="3:75" x14ac:dyDescent="0.2">
      <c r="C138" s="1"/>
      <c r="N138" s="1"/>
      <c r="AS138" s="1" t="s">
        <v>313</v>
      </c>
      <c r="BC138" s="1" t="s">
        <v>313</v>
      </c>
      <c r="BM138" s="1" t="s">
        <v>314</v>
      </c>
    </row>
    <row r="139" spans="3:75" x14ac:dyDescent="0.2">
      <c r="C139" s="1"/>
      <c r="N139" s="1"/>
      <c r="AS139" s="1" t="s">
        <v>314</v>
      </c>
      <c r="BC139" s="1" t="s">
        <v>314</v>
      </c>
      <c r="BM139" s="1" t="s">
        <v>315</v>
      </c>
    </row>
    <row r="140" spans="3:75" x14ac:dyDescent="0.2">
      <c r="C140" s="1"/>
      <c r="N140" s="1"/>
      <c r="AS140" s="1" t="s">
        <v>315</v>
      </c>
      <c r="BC140" s="1" t="s">
        <v>315</v>
      </c>
      <c r="BM140" s="1" t="s">
        <v>2236</v>
      </c>
    </row>
    <row r="141" spans="3:75" x14ac:dyDescent="0.2">
      <c r="C141" s="1"/>
      <c r="N141" s="1"/>
      <c r="AS141" s="1" t="s">
        <v>2236</v>
      </c>
      <c r="BC141" s="1" t="s">
        <v>318</v>
      </c>
      <c r="BM141" s="1" t="s">
        <v>317</v>
      </c>
    </row>
    <row r="142" spans="3:75" x14ac:dyDescent="0.2">
      <c r="C142" s="1"/>
      <c r="N142" s="1"/>
      <c r="AS142" s="1" t="s">
        <v>317</v>
      </c>
      <c r="BC142" s="1" t="s">
        <v>2250</v>
      </c>
      <c r="BM142" s="1" t="s">
        <v>318</v>
      </c>
    </row>
    <row r="143" spans="3:75" x14ac:dyDescent="0.2">
      <c r="C143" s="1"/>
      <c r="N143" s="1"/>
      <c r="AS143" s="1" t="s">
        <v>318</v>
      </c>
      <c r="BC143" s="1" t="s">
        <v>2235</v>
      </c>
      <c r="BM143" s="1" t="s">
        <v>2966</v>
      </c>
    </row>
    <row r="144" spans="3:75" x14ac:dyDescent="0.2">
      <c r="C144" s="1"/>
      <c r="N144" s="1"/>
      <c r="AS144" s="1" t="s">
        <v>2250</v>
      </c>
      <c r="BC144" s="1" t="s">
        <v>2251</v>
      </c>
      <c r="BM144" s="1" t="s">
        <v>2250</v>
      </c>
    </row>
    <row r="145" spans="3:65" x14ac:dyDescent="0.2">
      <c r="C145" s="1"/>
      <c r="AS145" s="1" t="s">
        <v>2235</v>
      </c>
      <c r="BC145" s="1" t="s">
        <v>2737</v>
      </c>
      <c r="BM145" s="1" t="s">
        <v>2235</v>
      </c>
    </row>
    <row r="146" spans="3:65" x14ac:dyDescent="0.2">
      <c r="C146" s="2"/>
      <c r="AS146" s="1" t="s">
        <v>132</v>
      </c>
      <c r="BC146" s="1" t="s">
        <v>1561</v>
      </c>
      <c r="BM146" s="1" t="s">
        <v>132</v>
      </c>
    </row>
    <row r="171" spans="3:3" x14ac:dyDescent="0.2">
      <c r="C171" s="3"/>
    </row>
  </sheetData>
  <phoneticPr fontId="13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C820-474A-1B44-8AD5-DF88B7883442}">
  <dimension ref="B1:CG147"/>
  <sheetViews>
    <sheetView topLeftCell="BY1" zoomScaleNormal="75" workbookViewId="0">
      <selection activeCell="CE22" sqref="CE16:CE22"/>
    </sheetView>
  </sheetViews>
  <sheetFormatPr baseColWidth="10" defaultRowHeight="16" x14ac:dyDescent="0.2"/>
  <cols>
    <col min="8" max="8" width="23.6640625" bestFit="1" customWidth="1"/>
    <col min="9" max="9" width="14.1640625" bestFit="1" customWidth="1"/>
    <col min="19" max="19" width="19.1640625" bestFit="1" customWidth="1"/>
  </cols>
  <sheetData>
    <row r="1" spans="2:85" x14ac:dyDescent="0.2">
      <c r="H1" t="s">
        <v>770</v>
      </c>
      <c r="I1">
        <v>0.03</v>
      </c>
      <c r="X1" s="20">
        <v>0.2</v>
      </c>
      <c r="AT1" s="20" t="s">
        <v>2648</v>
      </c>
      <c r="BN1" s="20" t="s">
        <v>2875</v>
      </c>
    </row>
    <row r="2" spans="2:85" x14ac:dyDescent="0.2">
      <c r="M2" s="1" t="s">
        <v>2026</v>
      </c>
      <c r="X2" s="1" t="s">
        <v>799</v>
      </c>
      <c r="AJ2" s="1" t="s">
        <v>2619</v>
      </c>
      <c r="AT2" s="1" t="s">
        <v>2738</v>
      </c>
      <c r="BA2" t="s">
        <v>471</v>
      </c>
      <c r="BB2" t="s">
        <v>661</v>
      </c>
      <c r="BC2" t="s">
        <v>904</v>
      </c>
      <c r="BD2" s="1" t="s">
        <v>2619</v>
      </c>
      <c r="BK2" t="s">
        <v>471</v>
      </c>
      <c r="BL2" t="s">
        <v>661</v>
      </c>
      <c r="BM2" t="s">
        <v>904</v>
      </c>
      <c r="BN2" s="1" t="s">
        <v>799</v>
      </c>
      <c r="BU2" t="s">
        <v>471</v>
      </c>
      <c r="BV2" t="s">
        <v>661</v>
      </c>
      <c r="BW2" t="s">
        <v>904</v>
      </c>
      <c r="BX2" s="1" t="s">
        <v>905</v>
      </c>
      <c r="CE2" t="s">
        <v>471</v>
      </c>
      <c r="CF2" t="s">
        <v>661</v>
      </c>
      <c r="CG2" t="s">
        <v>904</v>
      </c>
    </row>
    <row r="3" spans="2:85" x14ac:dyDescent="0.2">
      <c r="B3" s="1" t="s">
        <v>1905</v>
      </c>
      <c r="I3" t="s">
        <v>903</v>
      </c>
      <c r="J3" t="s">
        <v>661</v>
      </c>
      <c r="K3" t="s">
        <v>904</v>
      </c>
      <c r="M3" s="2" t="s">
        <v>2027</v>
      </c>
      <c r="T3" t="s">
        <v>471</v>
      </c>
      <c r="U3" t="s">
        <v>661</v>
      </c>
      <c r="V3" t="s">
        <v>904</v>
      </c>
      <c r="X3" s="2" t="s">
        <v>2602</v>
      </c>
      <c r="AE3" t="s">
        <v>471</v>
      </c>
      <c r="AF3" t="s">
        <v>661</v>
      </c>
      <c r="AG3" t="s">
        <v>904</v>
      </c>
      <c r="AJ3" s="2" t="s">
        <v>2602</v>
      </c>
      <c r="AQ3" t="s">
        <v>471</v>
      </c>
      <c r="AR3" t="s">
        <v>661</v>
      </c>
      <c r="AS3" t="s">
        <v>904</v>
      </c>
      <c r="AT3" s="2" t="s">
        <v>2602</v>
      </c>
      <c r="BB3">
        <v>100</v>
      </c>
      <c r="BC3" s="5"/>
      <c r="BD3" s="2" t="s">
        <v>2755</v>
      </c>
      <c r="BL3">
        <v>100</v>
      </c>
      <c r="BM3" s="5"/>
      <c r="BN3" s="2" t="s">
        <v>2973</v>
      </c>
      <c r="BV3">
        <v>100</v>
      </c>
      <c r="BW3" s="5"/>
      <c r="BX3" s="2" t="s">
        <v>2973</v>
      </c>
      <c r="CF3">
        <v>100</v>
      </c>
      <c r="CG3" s="5"/>
    </row>
    <row r="4" spans="2:85" x14ac:dyDescent="0.2">
      <c r="B4" s="1" t="s">
        <v>1906</v>
      </c>
      <c r="J4">
        <v>100</v>
      </c>
      <c r="K4" s="5">
        <f>I5</f>
        <v>-1.21E-2</v>
      </c>
      <c r="M4" s="1" t="s">
        <v>1906</v>
      </c>
      <c r="U4">
        <v>100</v>
      </c>
      <c r="V4" s="5">
        <f>T5</f>
        <v>-1.3299999999999999E-2</v>
      </c>
      <c r="X4" s="1" t="s">
        <v>801</v>
      </c>
      <c r="AF4">
        <v>100</v>
      </c>
      <c r="AG4" s="5">
        <f>AE5</f>
        <v>-2.7000000000000001E-3</v>
      </c>
      <c r="AJ4" s="1" t="s">
        <v>800</v>
      </c>
      <c r="AR4">
        <v>100</v>
      </c>
      <c r="AS4" s="5"/>
      <c r="AT4" s="1" t="s">
        <v>801</v>
      </c>
      <c r="BA4" s="5">
        <v>-1.5E-3</v>
      </c>
      <c r="BB4">
        <f t="shared" ref="BB4:BB15" si="0">(1+BA4)*BB3</f>
        <v>99.850000000000009</v>
      </c>
      <c r="BC4" s="5">
        <f>BA4</f>
        <v>-1.5E-3</v>
      </c>
      <c r="BD4" s="1" t="s">
        <v>800</v>
      </c>
      <c r="BK4" s="5">
        <v>4.0000000000000001E-3</v>
      </c>
      <c r="BL4">
        <f t="shared" ref="BL4:BL15" si="1">(1+BK4)*BL3</f>
        <v>100.4</v>
      </c>
      <c r="BM4" s="5"/>
      <c r="BN4" s="1" t="s">
        <v>801</v>
      </c>
      <c r="BU4" s="19">
        <v>-2.1899999999999999E-2</v>
      </c>
      <c r="BV4">
        <f t="shared" ref="BV4:BV15" si="2">(1+BU4)*BV3</f>
        <v>97.81</v>
      </c>
      <c r="BW4" s="5">
        <f>BU4</f>
        <v>-2.1899999999999999E-2</v>
      </c>
      <c r="BX4" s="1" t="s">
        <v>800</v>
      </c>
      <c r="CE4" s="19">
        <v>-2.0999999999999999E-3</v>
      </c>
      <c r="CF4">
        <f t="shared" ref="CF4:CF15" si="3">(1+CE4)*CF3</f>
        <v>99.79</v>
      </c>
      <c r="CG4" s="5">
        <f>CE4</f>
        <v>-2.0999999999999999E-3</v>
      </c>
    </row>
    <row r="5" spans="2:85" x14ac:dyDescent="0.2">
      <c r="B5" s="1" t="s">
        <v>1907</v>
      </c>
      <c r="I5" s="19">
        <v>-1.21E-2</v>
      </c>
      <c r="J5">
        <f>(I5+1)*J4</f>
        <v>98.79</v>
      </c>
      <c r="K5" s="5">
        <f>I6</f>
        <v>-1.09E-2</v>
      </c>
      <c r="M5" s="1" t="s">
        <v>1914</v>
      </c>
      <c r="T5" s="19">
        <v>-1.3299999999999999E-2</v>
      </c>
      <c r="U5">
        <f t="shared" ref="U5:U16" si="4">(1+T5)*U4</f>
        <v>98.67</v>
      </c>
      <c r="V5" s="5">
        <f>T6</f>
        <v>-7.7000000000000002E-3</v>
      </c>
      <c r="X5" s="1" t="s">
        <v>2603</v>
      </c>
      <c r="AE5" s="19">
        <v>-2.7000000000000001E-3</v>
      </c>
      <c r="AF5">
        <f t="shared" ref="AF5:AF16" si="5">(1+AE5)*AF4</f>
        <v>99.72999999999999</v>
      </c>
      <c r="AG5" s="5">
        <f>AE6</f>
        <v>-8.8999999999999999E-3</v>
      </c>
      <c r="AJ5" s="1" t="s">
        <v>2607</v>
      </c>
      <c r="AQ5" s="5">
        <v>1.1900000000000001E-2</v>
      </c>
      <c r="AR5">
        <f t="shared" ref="AR5:AR16" si="6">(1+AQ5)*AR4</f>
        <v>101.19</v>
      </c>
      <c r="AT5" s="1" t="s">
        <v>907</v>
      </c>
      <c r="BA5" s="5">
        <v>-1.5699999999999999E-2</v>
      </c>
      <c r="BB5">
        <f t="shared" si="0"/>
        <v>98.28235500000001</v>
      </c>
      <c r="BC5" s="5">
        <f>BA5</f>
        <v>-1.5699999999999999E-2</v>
      </c>
      <c r="BD5" s="1" t="s">
        <v>2607</v>
      </c>
      <c r="BK5" s="5">
        <v>-8.3999999999999995E-3</v>
      </c>
      <c r="BL5">
        <f t="shared" si="1"/>
        <v>99.556640000000016</v>
      </c>
      <c r="BM5" s="5">
        <f>BK5</f>
        <v>-8.3999999999999995E-3</v>
      </c>
      <c r="BN5" s="1" t="s">
        <v>2252</v>
      </c>
      <c r="BU5" s="19">
        <v>-6.9999999999999999E-4</v>
      </c>
      <c r="BV5">
        <f t="shared" si="2"/>
        <v>97.741533000000004</v>
      </c>
      <c r="BW5" s="5">
        <f>BU5</f>
        <v>-6.9999999999999999E-4</v>
      </c>
      <c r="BX5" s="1" t="s">
        <v>2623</v>
      </c>
      <c r="CE5" s="19">
        <v>-8.3999999999999995E-3</v>
      </c>
      <c r="CF5">
        <f t="shared" si="3"/>
        <v>98.951764000000011</v>
      </c>
      <c r="CG5" s="5">
        <f>CE5</f>
        <v>-8.3999999999999995E-3</v>
      </c>
    </row>
    <row r="6" spans="2:85" x14ac:dyDescent="0.2">
      <c r="B6" s="1" t="s">
        <v>1908</v>
      </c>
      <c r="I6" s="19">
        <v>-1.09E-2</v>
      </c>
      <c r="J6">
        <f t="shared" ref="J6:J16" si="7">(I6+1)*J5</f>
        <v>97.713189</v>
      </c>
      <c r="K6" s="5">
        <f>I8</f>
        <v>-4.0599999999999997E-2</v>
      </c>
      <c r="M6" s="1" t="s">
        <v>2028</v>
      </c>
      <c r="T6" s="19">
        <v>-7.7000000000000002E-3</v>
      </c>
      <c r="U6">
        <f t="shared" si="4"/>
        <v>97.910240999999999</v>
      </c>
      <c r="V6" s="5">
        <f>T8</f>
        <v>-3.7900000000000003E-2</v>
      </c>
      <c r="X6" s="1" t="s">
        <v>907</v>
      </c>
      <c r="AE6" s="19">
        <v>-8.8999999999999999E-3</v>
      </c>
      <c r="AF6">
        <f t="shared" si="5"/>
        <v>98.84240299999999</v>
      </c>
      <c r="AG6" s="5">
        <f>AE8</f>
        <v>-1.54E-2</v>
      </c>
      <c r="AJ6" s="1" t="s">
        <v>801</v>
      </c>
      <c r="AQ6" s="5">
        <v>-8.3999999999999995E-3</v>
      </c>
      <c r="AR6">
        <f t="shared" si="6"/>
        <v>100.34000400000001</v>
      </c>
      <c r="AS6" s="5">
        <f>AQ6</f>
        <v>-8.3999999999999995E-3</v>
      </c>
      <c r="AT6" s="1" t="s">
        <v>908</v>
      </c>
      <c r="BA6" s="5">
        <v>2.8299999999999999E-2</v>
      </c>
      <c r="BB6">
        <f t="shared" si="0"/>
        <v>101.06374564650001</v>
      </c>
      <c r="BC6" s="5">
        <f>BA7</f>
        <v>-9.7999999999999997E-3</v>
      </c>
      <c r="BD6" s="1" t="s">
        <v>2620</v>
      </c>
      <c r="BK6" s="5">
        <v>5.7999999999999996E-3</v>
      </c>
      <c r="BL6">
        <f t="shared" si="1"/>
        <v>100.13406851200001</v>
      </c>
      <c r="BM6" s="5">
        <f>BK7</f>
        <v>-3.7900000000000003E-2</v>
      </c>
      <c r="BN6" s="1" t="s">
        <v>906</v>
      </c>
      <c r="BU6" s="19">
        <v>3.2800000000000003E-2</v>
      </c>
      <c r="BV6">
        <f t="shared" si="2"/>
        <v>100.9474552824</v>
      </c>
      <c r="BW6" s="5">
        <f>BU7</f>
        <v>-1.2800000000000001E-2</v>
      </c>
      <c r="BX6" s="1" t="s">
        <v>804</v>
      </c>
      <c r="CE6" s="19">
        <v>5.7999999999999996E-3</v>
      </c>
      <c r="CF6">
        <f t="shared" si="3"/>
        <v>99.525684231200017</v>
      </c>
      <c r="CG6" s="5">
        <f>CE7</f>
        <v>-3.7900000000000003E-2</v>
      </c>
    </row>
    <row r="7" spans="2:85" x14ac:dyDescent="0.2">
      <c r="B7" s="1" t="s">
        <v>1909</v>
      </c>
      <c r="I7" s="19">
        <v>5.4000000000000003E-3</v>
      </c>
      <c r="J7">
        <f t="shared" si="7"/>
        <v>98.240840220600006</v>
      </c>
      <c r="K7" s="5">
        <f>I12</f>
        <v>-4.0000000000000001E-3</v>
      </c>
      <c r="M7" s="1" t="s">
        <v>2029</v>
      </c>
      <c r="T7" s="19">
        <v>-4.0000000000000001E-3</v>
      </c>
      <c r="U7">
        <f t="shared" si="4"/>
        <v>97.518600035999995</v>
      </c>
      <c r="V7" s="5">
        <f>T11</f>
        <v>-4.7000000000000002E-3</v>
      </c>
      <c r="X7" s="1" t="s">
        <v>908</v>
      </c>
      <c r="AE7" s="19">
        <v>3.2800000000000003E-2</v>
      </c>
      <c r="AF7">
        <f t="shared" si="5"/>
        <v>102.08443381839999</v>
      </c>
      <c r="AG7" s="5">
        <f>AE11</f>
        <v>-1.47E-2</v>
      </c>
      <c r="AJ7" s="1" t="s">
        <v>2620</v>
      </c>
      <c r="AQ7" s="5">
        <v>5.7999999999999996E-3</v>
      </c>
      <c r="AR7">
        <f t="shared" si="6"/>
        <v>100.92197602320002</v>
      </c>
      <c r="AS7" s="5">
        <f>AQ8</f>
        <v>-3.7900000000000003E-2</v>
      </c>
      <c r="AT7" s="1" t="s">
        <v>909</v>
      </c>
      <c r="BA7" s="5">
        <v>-9.7999999999999997E-3</v>
      </c>
      <c r="BB7">
        <f t="shared" si="0"/>
        <v>100.0733209391643</v>
      </c>
      <c r="BC7" s="5">
        <f>BA10</f>
        <v>-1.41E-2</v>
      </c>
      <c r="BD7" s="1" t="s">
        <v>2621</v>
      </c>
      <c r="BK7" s="5">
        <v>-3.7900000000000003E-2</v>
      </c>
      <c r="BL7">
        <f t="shared" si="1"/>
        <v>96.338987315395215</v>
      </c>
      <c r="BM7" s="5">
        <f>BK10</f>
        <v>-1E-4</v>
      </c>
      <c r="BN7" s="1" t="s">
        <v>803</v>
      </c>
      <c r="BU7" s="19">
        <v>-1.2800000000000001E-2</v>
      </c>
      <c r="BV7">
        <f t="shared" si="2"/>
        <v>99.65532785478527</v>
      </c>
      <c r="BW7" s="5">
        <f>BU10</f>
        <v>-1.6500000000000001E-2</v>
      </c>
      <c r="BX7" s="1" t="s">
        <v>802</v>
      </c>
      <c r="CE7" s="19">
        <v>-3.7900000000000003E-2</v>
      </c>
      <c r="CF7">
        <f t="shared" si="3"/>
        <v>95.753660798837529</v>
      </c>
      <c r="CG7" s="5">
        <f>CE10</f>
        <v>-1E-4</v>
      </c>
    </row>
    <row r="8" spans="2:85" x14ac:dyDescent="0.2">
      <c r="B8" s="1" t="s">
        <v>1910</v>
      </c>
      <c r="I8" s="19">
        <v>-4.0599999999999997E-2</v>
      </c>
      <c r="J8">
        <f t="shared" si="7"/>
        <v>94.252262107643645</v>
      </c>
      <c r="K8" s="5">
        <f>I14</f>
        <v>-5.96E-2</v>
      </c>
      <c r="M8" s="1" t="s">
        <v>2030</v>
      </c>
      <c r="T8" s="19">
        <v>-3.7900000000000003E-2</v>
      </c>
      <c r="U8">
        <f t="shared" si="4"/>
        <v>93.82264509463559</v>
      </c>
      <c r="V8" s="5">
        <f>T12</f>
        <v>-2E-3</v>
      </c>
      <c r="X8" s="1" t="s">
        <v>909</v>
      </c>
      <c r="AE8" s="19">
        <v>-1.54E-2</v>
      </c>
      <c r="AF8">
        <f t="shared" si="5"/>
        <v>100.51233353759663</v>
      </c>
      <c r="AG8" s="5">
        <f>AE10</f>
        <v>-4.1999999999999997E-3</v>
      </c>
      <c r="AJ8" s="1" t="s">
        <v>2621</v>
      </c>
      <c r="AQ8" s="5">
        <v>-3.7900000000000003E-2</v>
      </c>
      <c r="AR8">
        <f t="shared" si="6"/>
        <v>97.097033131920725</v>
      </c>
      <c r="AS8" s="5">
        <f>AQ11</f>
        <v>-1E-4</v>
      </c>
      <c r="AT8" s="1" t="s">
        <v>2604</v>
      </c>
      <c r="BA8" s="5">
        <v>2.1299999999999999E-2</v>
      </c>
      <c r="BB8">
        <f t="shared" si="0"/>
        <v>102.20488267516852</v>
      </c>
      <c r="BC8" s="5">
        <f>BA9</f>
        <v>-4.1000000000000003E-3</v>
      </c>
      <c r="BD8" s="1" t="s">
        <v>2622</v>
      </c>
      <c r="BK8" s="5">
        <v>7.4999999999999997E-3</v>
      </c>
      <c r="BL8">
        <f t="shared" si="1"/>
        <v>97.06152972026068</v>
      </c>
      <c r="BM8" s="5">
        <f>BK11</f>
        <v>-9.4999999999999998E-3</v>
      </c>
      <c r="BN8" s="1" t="s">
        <v>907</v>
      </c>
      <c r="BU8" s="19">
        <v>1.4E-3</v>
      </c>
      <c r="BV8">
        <f t="shared" si="2"/>
        <v>99.794845313781977</v>
      </c>
      <c r="BW8" s="5">
        <f>BU12</f>
        <v>-4.3E-3</v>
      </c>
      <c r="BX8" s="1" t="s">
        <v>805</v>
      </c>
      <c r="CE8" s="19">
        <v>7.4999999999999997E-3</v>
      </c>
      <c r="CF8">
        <f t="shared" si="3"/>
        <v>96.471813254828817</v>
      </c>
      <c r="CG8" s="5">
        <f>CE11</f>
        <v>-9.4999999999999998E-3</v>
      </c>
    </row>
    <row r="9" spans="2:85" x14ac:dyDescent="0.2">
      <c r="B9" s="1" t="s">
        <v>1911</v>
      </c>
      <c r="I9" s="19">
        <v>-2.5000000000000001E-3</v>
      </c>
      <c r="J9">
        <f t="shared" si="7"/>
        <v>94.01663145237454</v>
      </c>
      <c r="K9" s="5">
        <f>I15</f>
        <v>-1.9300000000000001E-2</v>
      </c>
      <c r="M9" s="1" t="s">
        <v>2031</v>
      </c>
      <c r="T9" s="19">
        <v>4.3E-3</v>
      </c>
      <c r="U9">
        <f t="shared" si="4"/>
        <v>94.226082468542515</v>
      </c>
      <c r="V9" s="5">
        <f>T14</f>
        <v>-3.5099999999999999E-2</v>
      </c>
      <c r="X9" s="1" t="s">
        <v>2604</v>
      </c>
      <c r="AE9" s="19">
        <v>1.4200000000000001E-2</v>
      </c>
      <c r="AF9">
        <f t="shared" si="5"/>
        <v>101.93960867383051</v>
      </c>
      <c r="AG9" s="5">
        <f>AE14</f>
        <v>-3.5099999999999999E-2</v>
      </c>
      <c r="AJ9" s="1" t="s">
        <v>2622</v>
      </c>
      <c r="AQ9" s="5">
        <v>7.4999999999999997E-3</v>
      </c>
      <c r="AR9">
        <f t="shared" si="6"/>
        <v>97.825260880410141</v>
      </c>
      <c r="AS9" s="5">
        <f>AQ12</f>
        <v>-9.4999999999999998E-3</v>
      </c>
      <c r="AT9" s="1" t="s">
        <v>2603</v>
      </c>
      <c r="BA9" s="5">
        <v>-4.1000000000000003E-3</v>
      </c>
      <c r="BB9">
        <f t="shared" si="0"/>
        <v>101.78584265620033</v>
      </c>
      <c r="BC9" s="5">
        <f>BA13</f>
        <v>-3.5099999999999999E-2</v>
      </c>
      <c r="BD9" s="1" t="s">
        <v>801</v>
      </c>
      <c r="BK9" s="5">
        <v>4.4000000000000003E-3</v>
      </c>
      <c r="BL9">
        <f t="shared" si="1"/>
        <v>97.488600451029825</v>
      </c>
      <c r="BM9" s="5">
        <f>BK13</f>
        <v>-6.3700000000000007E-2</v>
      </c>
      <c r="BN9" s="1" t="s">
        <v>908</v>
      </c>
      <c r="BU9" s="19">
        <v>4.8999999999999998E-3</v>
      </c>
      <c r="BV9">
        <f t="shared" si="2"/>
        <v>100.2838400558195</v>
      </c>
      <c r="BW9" s="5">
        <f>BU13</f>
        <v>-3.5099999999999999E-2</v>
      </c>
      <c r="BX9" s="1" t="s">
        <v>806</v>
      </c>
      <c r="CE9" s="19">
        <v>4.4000000000000003E-3</v>
      </c>
      <c r="CF9">
        <f t="shared" si="3"/>
        <v>96.896289233150057</v>
      </c>
      <c r="CG9" s="5">
        <f>CE13</f>
        <v>-6.3700000000000007E-2</v>
      </c>
    </row>
    <row r="10" spans="2:85" x14ac:dyDescent="0.2">
      <c r="B10" s="1" t="s">
        <v>1912</v>
      </c>
      <c r="I10" s="19">
        <v>7.4999999999999997E-3</v>
      </c>
      <c r="J10">
        <f t="shared" si="7"/>
        <v>94.721756188267349</v>
      </c>
      <c r="K10" s="5">
        <f>I16</f>
        <v>-2.2599999999999999E-2</v>
      </c>
      <c r="M10" s="1" t="s">
        <v>1915</v>
      </c>
      <c r="T10" s="19">
        <v>4.4000000000000003E-3</v>
      </c>
      <c r="U10">
        <f t="shared" si="4"/>
        <v>94.640677231404098</v>
      </c>
      <c r="V10" s="5">
        <f>T15</f>
        <v>-3.3099999999999997E-2</v>
      </c>
      <c r="X10" s="1" t="s">
        <v>2252</v>
      </c>
      <c r="AE10" s="19">
        <v>-4.1999999999999997E-3</v>
      </c>
      <c r="AF10">
        <f t="shared" si="5"/>
        <v>101.51146231740042</v>
      </c>
      <c r="AG10" s="5">
        <f>AE15</f>
        <v>-2.7E-2</v>
      </c>
      <c r="AJ10" s="1" t="s">
        <v>2604</v>
      </c>
      <c r="AQ10" s="5">
        <v>4.4000000000000003E-3</v>
      </c>
      <c r="AR10">
        <f t="shared" si="6"/>
        <v>98.255692028283946</v>
      </c>
      <c r="AS10" s="5">
        <f>AQ14</f>
        <v>-6.3700000000000007E-2</v>
      </c>
      <c r="AT10" s="1" t="s">
        <v>2252</v>
      </c>
      <c r="BA10" s="5">
        <v>-1.41E-2</v>
      </c>
      <c r="BB10">
        <f t="shared" si="0"/>
        <v>100.3506622747479</v>
      </c>
      <c r="BC10" s="5">
        <f>BA13</f>
        <v>-3.5099999999999999E-2</v>
      </c>
      <c r="BD10" s="1" t="s">
        <v>2604</v>
      </c>
      <c r="BK10" s="5">
        <v>-1E-4</v>
      </c>
      <c r="BL10">
        <f t="shared" si="1"/>
        <v>97.478851590984718</v>
      </c>
      <c r="BM10" s="5">
        <f>BK15</f>
        <v>-1.2699999999999999E-2</v>
      </c>
      <c r="BN10" s="1" t="s">
        <v>909</v>
      </c>
      <c r="BU10" s="19">
        <v>-1.6500000000000001E-2</v>
      </c>
      <c r="BV10">
        <f t="shared" si="2"/>
        <v>98.629156694898484</v>
      </c>
      <c r="BW10" s="5">
        <f>BU15</f>
        <v>-2.52E-2</v>
      </c>
      <c r="BX10" s="1" t="s">
        <v>807</v>
      </c>
      <c r="CE10" s="19">
        <v>-1E-4</v>
      </c>
      <c r="CF10">
        <f t="shared" si="3"/>
        <v>96.886599604226745</v>
      </c>
      <c r="CG10" s="5">
        <f>CE15</f>
        <v>-1.2699999999999999E-2</v>
      </c>
    </row>
    <row r="11" spans="2:85" x14ac:dyDescent="0.2">
      <c r="B11" s="1" t="s">
        <v>1913</v>
      </c>
      <c r="I11" s="19">
        <v>5.9999999999999995E-4</v>
      </c>
      <c r="J11">
        <f t="shared" si="7"/>
        <v>94.778589241980299</v>
      </c>
      <c r="M11" s="1" t="s">
        <v>1909</v>
      </c>
      <c r="T11" s="19">
        <v>-4.7000000000000002E-3</v>
      </c>
      <c r="U11">
        <f t="shared" si="4"/>
        <v>94.195866048416491</v>
      </c>
      <c r="V11" s="5">
        <f>T16</f>
        <v>-1.7299999999999999E-2</v>
      </c>
      <c r="X11" s="1" t="s">
        <v>2605</v>
      </c>
      <c r="AE11" s="19">
        <v>-1.47E-2</v>
      </c>
      <c r="AF11">
        <f t="shared" si="5"/>
        <v>100.01924382133463</v>
      </c>
      <c r="AG11" s="5">
        <f>AE16</f>
        <v>-3.2099999999999997E-2</v>
      </c>
      <c r="AJ11" s="1" t="s">
        <v>2623</v>
      </c>
      <c r="AQ11" s="5">
        <v>-1E-4</v>
      </c>
      <c r="AR11">
        <f t="shared" si="6"/>
        <v>98.245866459081114</v>
      </c>
      <c r="AS11" s="5">
        <f>AQ14</f>
        <v>-6.3700000000000007E-2</v>
      </c>
      <c r="AT11" s="1" t="s">
        <v>2607</v>
      </c>
      <c r="BA11" s="5">
        <v>2.7000000000000001E-3</v>
      </c>
      <c r="BB11">
        <f t="shared" si="0"/>
        <v>100.62160906288972</v>
      </c>
      <c r="BC11" s="5">
        <f>BA14</f>
        <v>-2.7E-2</v>
      </c>
      <c r="BD11" s="1" t="s">
        <v>2756</v>
      </c>
      <c r="BK11" s="5">
        <v>-9.4999999999999998E-3</v>
      </c>
      <c r="BL11">
        <f t="shared" si="1"/>
        <v>96.552802500870371</v>
      </c>
      <c r="BM11" s="5">
        <f>BK14</f>
        <v>-1.8100000000000002E-2</v>
      </c>
      <c r="BN11" s="1" t="s">
        <v>804</v>
      </c>
      <c r="BU11" s="19">
        <v>5.7000000000000002E-3</v>
      </c>
      <c r="BV11">
        <f t="shared" si="2"/>
        <v>99.19134288805941</v>
      </c>
      <c r="BW11" s="5">
        <f>BU14</f>
        <v>-2.7E-2</v>
      </c>
      <c r="BX11" s="1" t="s">
        <v>801</v>
      </c>
      <c r="CE11" s="19">
        <v>-9.4999999999999998E-3</v>
      </c>
      <c r="CF11">
        <f t="shared" si="3"/>
        <v>95.966176907986593</v>
      </c>
      <c r="CG11" s="5">
        <f>CE14</f>
        <v>-1.8100000000000002E-2</v>
      </c>
    </row>
    <row r="12" spans="2:85" x14ac:dyDescent="0.2">
      <c r="B12" s="1" t="s">
        <v>1914</v>
      </c>
      <c r="I12" s="19">
        <v>-4.0000000000000001E-3</v>
      </c>
      <c r="J12">
        <f t="shared" si="7"/>
        <v>94.399474885012381</v>
      </c>
      <c r="M12" s="1" t="s">
        <v>1907</v>
      </c>
      <c r="T12" s="19">
        <v>-2E-3</v>
      </c>
      <c r="U12">
        <f t="shared" si="4"/>
        <v>94.007474316319659</v>
      </c>
      <c r="X12" s="1" t="s">
        <v>2606</v>
      </c>
      <c r="AE12" s="19">
        <v>2.7000000000000001E-3</v>
      </c>
      <c r="AF12">
        <f t="shared" si="5"/>
        <v>100.28929577965222</v>
      </c>
      <c r="AG12" s="5">
        <f>AE13</f>
        <v>-6.1000000000000004E-3</v>
      </c>
      <c r="AJ12" s="1" t="s">
        <v>2624</v>
      </c>
      <c r="AQ12" s="5">
        <v>-9.4999999999999998E-3</v>
      </c>
      <c r="AR12">
        <f t="shared" si="6"/>
        <v>97.312530727719846</v>
      </c>
      <c r="AS12" s="5">
        <f>AQ15</f>
        <v>-1.8100000000000002E-2</v>
      </c>
      <c r="AT12" s="1" t="s">
        <v>2605</v>
      </c>
      <c r="BA12" s="5">
        <v>-2.52E-2</v>
      </c>
      <c r="BB12">
        <f t="shared" si="0"/>
        <v>98.085944514504902</v>
      </c>
      <c r="BC12" s="5">
        <f>BA15</f>
        <v>-2.9499999999999998E-2</v>
      </c>
      <c r="BD12" s="1" t="s">
        <v>2624</v>
      </c>
      <c r="BK12" s="5">
        <v>2.2100000000000002E-2</v>
      </c>
      <c r="BL12">
        <f t="shared" si="1"/>
        <v>98.686619436139608</v>
      </c>
      <c r="BN12" s="1" t="s">
        <v>2253</v>
      </c>
      <c r="BU12" s="19">
        <v>-4.3E-3</v>
      </c>
      <c r="BV12">
        <f t="shared" si="2"/>
        <v>98.764820113640752</v>
      </c>
      <c r="BX12" s="1" t="s">
        <v>808</v>
      </c>
      <c r="CE12" s="19">
        <v>2.2100000000000002E-2</v>
      </c>
      <c r="CF12">
        <f t="shared" si="3"/>
        <v>98.087029417653099</v>
      </c>
      <c r="CG12" s="5">
        <f>CE13</f>
        <v>-6.3700000000000007E-2</v>
      </c>
    </row>
    <row r="13" spans="2:85" x14ac:dyDescent="0.2">
      <c r="B13" s="1" t="s">
        <v>1915</v>
      </c>
      <c r="I13" s="19">
        <v>2.0899999999999998E-2</v>
      </c>
      <c r="J13">
        <f t="shared" si="7"/>
        <v>96.372423910109134</v>
      </c>
      <c r="M13" s="1" t="s">
        <v>1910</v>
      </c>
      <c r="T13" s="19">
        <v>2.1000000000000001E-2</v>
      </c>
      <c r="U13">
        <f t="shared" si="4"/>
        <v>95.981631276962361</v>
      </c>
      <c r="X13" s="1" t="s">
        <v>2607</v>
      </c>
      <c r="AE13" s="19">
        <v>-6.1000000000000004E-3</v>
      </c>
      <c r="AF13">
        <f t="shared" si="5"/>
        <v>99.677531075396345</v>
      </c>
      <c r="AJ13" s="1" t="s">
        <v>909</v>
      </c>
      <c r="AQ13" s="5">
        <v>2.2100000000000002E-2</v>
      </c>
      <c r="AR13">
        <f t="shared" si="6"/>
        <v>99.463137656802459</v>
      </c>
      <c r="AS13" s="5">
        <f>AQ16</f>
        <v>-1.2699999999999999E-2</v>
      </c>
      <c r="AT13" s="1" t="s">
        <v>2739</v>
      </c>
      <c r="BA13" s="5">
        <v>-3.5099999999999999E-2</v>
      </c>
      <c r="BB13">
        <f t="shared" si="0"/>
        <v>94.643127862045773</v>
      </c>
      <c r="BD13" s="1" t="s">
        <v>909</v>
      </c>
      <c r="BK13" s="5">
        <v>-6.3700000000000007E-2</v>
      </c>
      <c r="BL13">
        <f t="shared" si="1"/>
        <v>92.400281778057519</v>
      </c>
      <c r="BN13" s="1" t="s">
        <v>2254</v>
      </c>
      <c r="BU13" s="19">
        <v>-3.5099999999999999E-2</v>
      </c>
      <c r="BV13">
        <f t="shared" si="2"/>
        <v>95.298174927651957</v>
      </c>
      <c r="BX13" s="1" t="s">
        <v>2995</v>
      </c>
      <c r="CE13" s="19">
        <v>-6.3700000000000007E-2</v>
      </c>
      <c r="CF13">
        <f t="shared" si="3"/>
        <v>91.838885643748597</v>
      </c>
    </row>
    <row r="14" spans="2:85" x14ac:dyDescent="0.2">
      <c r="B14" s="1" t="s">
        <v>1916</v>
      </c>
      <c r="I14" s="19">
        <v>-5.96E-2</v>
      </c>
      <c r="J14">
        <f t="shared" si="7"/>
        <v>90.628627445066627</v>
      </c>
      <c r="M14" s="2" t="s">
        <v>2032</v>
      </c>
      <c r="T14" s="19">
        <v>-3.5099999999999999E-2</v>
      </c>
      <c r="U14">
        <f t="shared" si="4"/>
        <v>92.612676019140977</v>
      </c>
      <c r="AE14" s="19">
        <v>-3.5099999999999999E-2</v>
      </c>
      <c r="AF14">
        <f t="shared" si="5"/>
        <v>96.17884973464993</v>
      </c>
      <c r="AQ14" s="5">
        <v>-6.3700000000000007E-2</v>
      </c>
      <c r="AR14">
        <f t="shared" si="6"/>
        <v>93.127335788064144</v>
      </c>
      <c r="BA14" s="5">
        <v>-2.7E-2</v>
      </c>
      <c r="BB14">
        <f t="shared" si="0"/>
        <v>92.087763409770531</v>
      </c>
      <c r="BK14" s="5">
        <v>-1.8100000000000002E-2</v>
      </c>
      <c r="BL14">
        <f t="shared" si="1"/>
        <v>90.727836677874677</v>
      </c>
      <c r="BU14" s="19">
        <v>-2.7E-2</v>
      </c>
      <c r="BV14">
        <f t="shared" si="2"/>
        <v>92.725124204605351</v>
      </c>
      <c r="CE14" s="19">
        <v>-1.8100000000000002E-2</v>
      </c>
      <c r="CF14">
        <f t="shared" si="3"/>
        <v>90.176601813596747</v>
      </c>
    </row>
    <row r="15" spans="2:85" x14ac:dyDescent="0.2">
      <c r="B15" s="1" t="s">
        <v>1917</v>
      </c>
      <c r="I15" s="19">
        <v>-1.9300000000000001E-2</v>
      </c>
      <c r="J15">
        <f t="shared" si="7"/>
        <v>88.87949493537684</v>
      </c>
      <c r="M15" s="1" t="s">
        <v>1916</v>
      </c>
      <c r="T15" s="19">
        <v>-3.3099999999999997E-2</v>
      </c>
      <c r="U15">
        <f t="shared" si="4"/>
        <v>89.547196442907406</v>
      </c>
      <c r="X15" s="2" t="s">
        <v>2608</v>
      </c>
      <c r="AE15" s="19">
        <v>-2.7E-2</v>
      </c>
      <c r="AF15">
        <f t="shared" si="5"/>
        <v>93.582020791814386</v>
      </c>
      <c r="AJ15" s="2" t="s">
        <v>2608</v>
      </c>
      <c r="AQ15" s="5">
        <v>-1.8100000000000002E-2</v>
      </c>
      <c r="AR15">
        <f t="shared" si="6"/>
        <v>91.441731010300188</v>
      </c>
      <c r="AT15" s="2" t="s">
        <v>2608</v>
      </c>
      <c r="BA15" s="5">
        <v>-2.9499999999999998E-2</v>
      </c>
      <c r="BB15">
        <f t="shared" si="0"/>
        <v>89.371174389182301</v>
      </c>
      <c r="BD15" s="2" t="s">
        <v>2757</v>
      </c>
      <c r="BK15" s="5">
        <v>-1.2699999999999999E-2</v>
      </c>
      <c r="BL15">
        <f t="shared" si="1"/>
        <v>89.575593152065665</v>
      </c>
      <c r="BN15" s="2" t="s">
        <v>2974</v>
      </c>
      <c r="BU15" s="19">
        <v>-2.52E-2</v>
      </c>
      <c r="BV15">
        <f t="shared" si="2"/>
        <v>90.388451074649296</v>
      </c>
      <c r="BX15" s="2" t="s">
        <v>2974</v>
      </c>
      <c r="CE15" s="19">
        <v>-1.2699999999999999E-2</v>
      </c>
      <c r="CF15">
        <f t="shared" si="3"/>
        <v>89.031358970564071</v>
      </c>
    </row>
    <row r="16" spans="2:85" x14ac:dyDescent="0.2">
      <c r="B16" s="1" t="s">
        <v>1918</v>
      </c>
      <c r="I16" s="19">
        <v>-2.2599999999999999E-2</v>
      </c>
      <c r="J16">
        <f t="shared" si="7"/>
        <v>86.870818349837322</v>
      </c>
      <c r="M16" s="1" t="s">
        <v>2033</v>
      </c>
      <c r="T16" s="19">
        <v>-1.7299999999999999E-2</v>
      </c>
      <c r="U16">
        <f t="shared" si="4"/>
        <v>87.998029944445108</v>
      </c>
      <c r="X16" s="1" t="s">
        <v>811</v>
      </c>
      <c r="AE16" s="19">
        <v>-3.2099999999999997E-2</v>
      </c>
      <c r="AF16">
        <f t="shared" si="5"/>
        <v>90.578037924397137</v>
      </c>
      <c r="AJ16" s="1" t="s">
        <v>809</v>
      </c>
      <c r="AQ16" s="5">
        <v>-1.2699999999999999E-2</v>
      </c>
      <c r="AR16">
        <f t="shared" si="6"/>
        <v>90.280421026469369</v>
      </c>
      <c r="AT16" s="1" t="s">
        <v>2255</v>
      </c>
      <c r="AZ16" s="8" t="s">
        <v>173</v>
      </c>
      <c r="BA16" s="5">
        <f>BB15/100 - 1</f>
        <v>-0.10628825610817705</v>
      </c>
      <c r="BD16" s="1" t="s">
        <v>809</v>
      </c>
      <c r="BJ16" s="8" t="s">
        <v>173</v>
      </c>
      <c r="BK16" s="5">
        <f>BL15/100 - 1</f>
        <v>-0.10424406847934331</v>
      </c>
      <c r="BN16" s="1" t="s">
        <v>2975</v>
      </c>
      <c r="BT16" s="8" t="s">
        <v>173</v>
      </c>
      <c r="BU16" s="5">
        <f>BV15/100 - 1</f>
        <v>-9.6115489253506992E-2</v>
      </c>
      <c r="BX16" s="1" t="s">
        <v>809</v>
      </c>
      <c r="CD16" s="8" t="s">
        <v>173</v>
      </c>
      <c r="CE16" s="5">
        <f>CF15/100 - 1</f>
        <v>-0.10968641029435933</v>
      </c>
    </row>
    <row r="17" spans="2:83" x14ac:dyDescent="0.2">
      <c r="B17" s="1" t="s">
        <v>1919</v>
      </c>
      <c r="H17" s="8" t="s">
        <v>173</v>
      </c>
      <c r="I17" s="5">
        <f>J16/100 - 1</f>
        <v>-0.1312918165016268</v>
      </c>
      <c r="M17" s="1" t="s">
        <v>1920</v>
      </c>
      <c r="S17" s="8" t="s">
        <v>173</v>
      </c>
      <c r="T17" s="5">
        <f>U16/100 - 1</f>
        <v>-0.12001970055554889</v>
      </c>
      <c r="X17" s="1" t="s">
        <v>2255</v>
      </c>
      <c r="AD17" s="8" t="s">
        <v>173</v>
      </c>
      <c r="AE17" s="5">
        <f>AF16/100 - 1</f>
        <v>-9.4219620756028633E-2</v>
      </c>
      <c r="AJ17" s="1" t="s">
        <v>910</v>
      </c>
      <c r="AP17" s="8" t="s">
        <v>173</v>
      </c>
      <c r="AQ17" s="5">
        <f>AR16/100 - 1</f>
        <v>-9.7195789735306293E-2</v>
      </c>
      <c r="AT17" s="1" t="s">
        <v>2259</v>
      </c>
      <c r="AZ17" s="9" t="s">
        <v>181</v>
      </c>
      <c r="BA17" s="5">
        <f>_xlfn.STDEV.S(BA4:BA15)*12^0.5</f>
        <v>6.8376464584613536E-2</v>
      </c>
      <c r="BD17" s="1" t="s">
        <v>910</v>
      </c>
      <c r="BJ17" s="9" t="s">
        <v>181</v>
      </c>
      <c r="BK17" s="5">
        <f>_xlfn.STDEV.S(BK4:BK15)*12^0.5</f>
        <v>7.961623863600599E-2</v>
      </c>
      <c r="BN17" s="1" t="s">
        <v>2260</v>
      </c>
      <c r="BT17" s="9" t="s">
        <v>181</v>
      </c>
      <c r="BU17" s="5">
        <f>_xlfn.STDEV.S(BU4:BU15)*12^0.5</f>
        <v>6.4834523631669055E-2</v>
      </c>
      <c r="BX17" s="1" t="s">
        <v>910</v>
      </c>
      <c r="CD17" s="9" t="s">
        <v>181</v>
      </c>
      <c r="CE17" s="5">
        <f>_xlfn.STDEV.S(CE4:CE15)*12^0.5</f>
        <v>7.87685851085317E-2</v>
      </c>
    </row>
    <row r="18" spans="2:83" x14ac:dyDescent="0.2">
      <c r="B18" s="1" t="s">
        <v>1920</v>
      </c>
      <c r="H18" s="9" t="s">
        <v>181</v>
      </c>
      <c r="I18" s="5">
        <f>_xlfn.STDEV.S(I5:I16)*12^0.5</f>
        <v>7.6218585182832713E-2</v>
      </c>
      <c r="M18" s="1" t="s">
        <v>1919</v>
      </c>
      <c r="S18" s="9" t="s">
        <v>181</v>
      </c>
      <c r="T18" s="5">
        <f>_xlfn.STDEV.S(T5:T16)*12^0.5</f>
        <v>6.187973673329434E-2</v>
      </c>
      <c r="X18" s="1" t="s">
        <v>810</v>
      </c>
      <c r="AD18" s="9" t="s">
        <v>181</v>
      </c>
      <c r="AE18" s="5">
        <f>_xlfn.STDEV.S(AE5:AE16)*12^0.5</f>
        <v>6.6835775667608649E-2</v>
      </c>
      <c r="AJ18" s="1" t="s">
        <v>811</v>
      </c>
      <c r="AP18" s="9" t="s">
        <v>181</v>
      </c>
      <c r="AQ18" s="5">
        <f>_xlfn.STDEV.S(AQ5:AQ16)*12^0.5</f>
        <v>8.1383151037099033E-2</v>
      </c>
      <c r="AT18" s="1" t="s">
        <v>2256</v>
      </c>
      <c r="AZ18" s="4" t="s">
        <v>171</v>
      </c>
      <c r="BA18" s="7">
        <f>(BA16-I1)/BA17</f>
        <v>-1.99320419586077</v>
      </c>
      <c r="BD18" s="1" t="s">
        <v>811</v>
      </c>
      <c r="BJ18" s="4" t="s">
        <v>171</v>
      </c>
      <c r="BK18" s="7">
        <f>(BK16-I1)/BK17</f>
        <v>-1.6861392949381584</v>
      </c>
      <c r="BN18" s="1" t="s">
        <v>2255</v>
      </c>
      <c r="BT18" s="4" t="s">
        <v>171</v>
      </c>
      <c r="BU18" s="7">
        <f>(BU16-I1)/BU17</f>
        <v>-1.9451903428793706</v>
      </c>
      <c r="BX18" s="1" t="s">
        <v>811</v>
      </c>
      <c r="CD18" s="4" t="s">
        <v>171</v>
      </c>
      <c r="CE18" s="7">
        <f>(CE16-I1)/CE17</f>
        <v>-1.7733771668221752</v>
      </c>
    </row>
    <row r="19" spans="2:83" x14ac:dyDescent="0.2">
      <c r="B19" s="1" t="s">
        <v>1921</v>
      </c>
      <c r="H19" s="4" t="s">
        <v>171</v>
      </c>
      <c r="I19" s="7">
        <f>(I17-I1)/I18</f>
        <v>-2.1161743702631175</v>
      </c>
      <c r="M19" s="1" t="s">
        <v>1918</v>
      </c>
      <c r="S19" s="4" t="s">
        <v>171</v>
      </c>
      <c r="T19" s="7">
        <f>(T17-I1)/T18</f>
        <v>-2.4243752232195734</v>
      </c>
      <c r="X19" s="1" t="s">
        <v>2256</v>
      </c>
      <c r="AD19" s="4" t="s">
        <v>171</v>
      </c>
      <c r="AE19" s="7">
        <f>(AE17-I1)/AE18</f>
        <v>-1.8585797728121609</v>
      </c>
      <c r="AJ19" s="1" t="s">
        <v>810</v>
      </c>
      <c r="AP19" s="4" t="s">
        <v>171</v>
      </c>
      <c r="AQ19" s="7">
        <f>(AQ17-I1)/AQ18</f>
        <v>-1.5629253489745472</v>
      </c>
      <c r="AT19" s="1" t="s">
        <v>811</v>
      </c>
      <c r="AZ19" s="8" t="s">
        <v>178</v>
      </c>
      <c r="BA19" s="5">
        <f>_xlfn.STDEV.S(BC4:BC12)*12^0.5</f>
        <v>4.4839380013555044E-2</v>
      </c>
      <c r="BD19" s="1" t="s">
        <v>810</v>
      </c>
      <c r="BJ19" s="8" t="s">
        <v>178</v>
      </c>
      <c r="BK19" s="5">
        <f>_xlfn.STDEV.S(BM5:BM11)*12^0.5</f>
        <v>7.6319965558542702E-2</v>
      </c>
      <c r="BN19" s="1" t="s">
        <v>810</v>
      </c>
      <c r="BT19" s="8" t="s">
        <v>178</v>
      </c>
      <c r="BU19" s="5">
        <f>_xlfn.STDEV.S(BW4:BW11)*12^0.5</f>
        <v>4.0497592521037594E-2</v>
      </c>
      <c r="BX19" s="1" t="s">
        <v>810</v>
      </c>
      <c r="CD19" s="8" t="s">
        <v>178</v>
      </c>
      <c r="CE19" s="5">
        <f>_xlfn.STDEV.S(CG4:CG11)*12^0.5</f>
        <v>7.4540866068792858E-2</v>
      </c>
    </row>
    <row r="20" spans="2:83" x14ac:dyDescent="0.2">
      <c r="B20" s="1" t="s">
        <v>1922</v>
      </c>
      <c r="H20" s="8" t="s">
        <v>178</v>
      </c>
      <c r="I20" s="5">
        <f>_xlfn.STDEV.S(K4:K10)*12^0.5</f>
        <v>6.7528025927864097E-2</v>
      </c>
      <c r="M20" s="1" t="s">
        <v>2034</v>
      </c>
      <c r="S20" s="8" t="s">
        <v>178</v>
      </c>
      <c r="T20" s="5">
        <f>_xlfn.STDEV.S(V4:V11)*12^0.5</f>
        <v>5.0228428205549083E-2</v>
      </c>
      <c r="X20" s="1" t="s">
        <v>2257</v>
      </c>
      <c r="AD20" s="8" t="s">
        <v>178</v>
      </c>
      <c r="AE20" s="5">
        <f>_xlfn.STDEV.S(AG4:AG11)*12^0.5</f>
        <v>4.3332114451722088E-2</v>
      </c>
      <c r="AJ20" s="1" t="s">
        <v>911</v>
      </c>
      <c r="AP20" s="8" t="s">
        <v>178</v>
      </c>
      <c r="AQ20" s="5">
        <f>_xlfn.STDEV.S(AS6:AS13)*12^0.5</f>
        <v>8.7553987426534238E-2</v>
      </c>
      <c r="AT20" s="1" t="s">
        <v>810</v>
      </c>
      <c r="AZ20" s="8" t="s">
        <v>177</v>
      </c>
      <c r="BA20" s="7">
        <f>(BA16-I1)/BA19</f>
        <v>-3.0394768185237351</v>
      </c>
      <c r="BD20" s="1" t="s">
        <v>911</v>
      </c>
      <c r="BJ20" s="8" t="s">
        <v>177</v>
      </c>
      <c r="BK20" s="7">
        <f>(BK16-I1)/BK19</f>
        <v>-1.7589639551968719</v>
      </c>
      <c r="BN20" s="1" t="s">
        <v>811</v>
      </c>
      <c r="BT20" s="8" t="s">
        <v>177</v>
      </c>
      <c r="BU20" s="7">
        <f>(BU16-I1)/BU19</f>
        <v>-3.1141478147865906</v>
      </c>
      <c r="BX20" s="1" t="s">
        <v>911</v>
      </c>
      <c r="CD20" s="8" t="s">
        <v>177</v>
      </c>
      <c r="CE20" s="7">
        <f>(CE16-I1)/CE19</f>
        <v>-1.87395743652139</v>
      </c>
    </row>
    <row r="21" spans="2:83" x14ac:dyDescent="0.2">
      <c r="B21" s="1" t="s">
        <v>1923</v>
      </c>
      <c r="H21" s="8" t="s">
        <v>177</v>
      </c>
      <c r="I21" s="7">
        <f>(I17-I1)/I20</f>
        <v>-2.3885166830424542</v>
      </c>
      <c r="M21" s="1" t="s">
        <v>2035</v>
      </c>
      <c r="S21" s="8" t="s">
        <v>177</v>
      </c>
      <c r="T21" s="7">
        <f>(T17-I1)/T20</f>
        <v>-2.986748857472215</v>
      </c>
      <c r="X21" s="1" t="s">
        <v>911</v>
      </c>
      <c r="AD21" s="8" t="s">
        <v>177</v>
      </c>
      <c r="AE21" s="7">
        <f>(AE17-I1)/AE20</f>
        <v>-2.8666872671174701</v>
      </c>
      <c r="AJ21" s="1" t="s">
        <v>912</v>
      </c>
      <c r="AP21" s="8" t="s">
        <v>177</v>
      </c>
      <c r="AQ21" s="7">
        <f>(AQ17-I1)/AQ20</f>
        <v>-1.4527698106500875</v>
      </c>
      <c r="AT21" s="1" t="s">
        <v>911</v>
      </c>
      <c r="AZ21" s="6" t="s">
        <v>179</v>
      </c>
      <c r="BA21" s="5">
        <f>BA13+BA14+BA15+BA12</f>
        <v>-0.1168</v>
      </c>
      <c r="BD21" s="1" t="s">
        <v>912</v>
      </c>
      <c r="BJ21" s="6" t="s">
        <v>179</v>
      </c>
      <c r="BK21" s="5">
        <f>BK13+BK14+BK15</f>
        <v>-9.4500000000000015E-2</v>
      </c>
      <c r="BN21" s="1" t="s">
        <v>2257</v>
      </c>
      <c r="BT21" s="6" t="s">
        <v>179</v>
      </c>
      <c r="BU21" s="5">
        <f>BU13+BU14+BU15</f>
        <v>-8.7300000000000003E-2</v>
      </c>
      <c r="BX21" s="1" t="s">
        <v>912</v>
      </c>
      <c r="CD21" s="6" t="s">
        <v>179</v>
      </c>
      <c r="CE21" s="5">
        <f>CE13+CE14+CE15</f>
        <v>-9.4500000000000015E-2</v>
      </c>
    </row>
    <row r="22" spans="2:83" x14ac:dyDescent="0.2">
      <c r="B22" s="1" t="s">
        <v>1924</v>
      </c>
      <c r="H22" s="6" t="s">
        <v>179</v>
      </c>
      <c r="I22" s="5">
        <f>I12</f>
        <v>-4.0000000000000001E-3</v>
      </c>
      <c r="M22" s="1" t="s">
        <v>2036</v>
      </c>
      <c r="S22" s="6" t="s">
        <v>179</v>
      </c>
      <c r="T22" s="5">
        <f>T12</f>
        <v>-2E-3</v>
      </c>
      <c r="X22" s="1" t="s">
        <v>912</v>
      </c>
      <c r="AD22" s="6" t="s">
        <v>179</v>
      </c>
      <c r="AE22" s="5">
        <f>AE13+AE14+AE15+AE16</f>
        <v>-0.1003</v>
      </c>
      <c r="AJ22" s="1" t="s">
        <v>812</v>
      </c>
      <c r="AP22" s="6" t="s">
        <v>179</v>
      </c>
      <c r="AQ22" s="5">
        <f>AQ14+AQ15+AQ16</f>
        <v>-9.4500000000000015E-2</v>
      </c>
      <c r="AT22" s="1" t="s">
        <v>912</v>
      </c>
      <c r="BD22" s="1" t="s">
        <v>812</v>
      </c>
      <c r="BN22" s="1" t="s">
        <v>912</v>
      </c>
      <c r="BX22" s="1" t="s">
        <v>812</v>
      </c>
    </row>
    <row r="23" spans="2:83" x14ac:dyDescent="0.2">
      <c r="B23" s="1" t="s">
        <v>1925</v>
      </c>
      <c r="H23" s="6"/>
      <c r="M23" s="1" t="s">
        <v>1921</v>
      </c>
      <c r="S23" s="6"/>
      <c r="X23" s="1" t="s">
        <v>2258</v>
      </c>
      <c r="AD23" s="6"/>
      <c r="AJ23" s="1" t="s">
        <v>813</v>
      </c>
      <c r="AT23" s="1" t="s">
        <v>2258</v>
      </c>
      <c r="BD23" s="1" t="s">
        <v>813</v>
      </c>
      <c r="BN23" s="1" t="s">
        <v>911</v>
      </c>
      <c r="BX23" s="1" t="s">
        <v>813</v>
      </c>
    </row>
    <row r="24" spans="2:83" x14ac:dyDescent="0.2">
      <c r="B24" s="1" t="s">
        <v>1926</v>
      </c>
      <c r="M24" s="1" t="s">
        <v>1922</v>
      </c>
      <c r="X24" s="1" t="s">
        <v>2259</v>
      </c>
      <c r="AJ24" s="1" t="s">
        <v>814</v>
      </c>
      <c r="AT24" s="1" t="s">
        <v>816</v>
      </c>
      <c r="BD24" s="1" t="s">
        <v>814</v>
      </c>
      <c r="BN24" s="1" t="s">
        <v>2976</v>
      </c>
      <c r="BX24" s="1" t="s">
        <v>814</v>
      </c>
    </row>
    <row r="25" spans="2:83" x14ac:dyDescent="0.2">
      <c r="B25" s="1" t="s">
        <v>1927</v>
      </c>
      <c r="M25" s="2" t="s">
        <v>2037</v>
      </c>
      <c r="X25" s="1" t="s">
        <v>2260</v>
      </c>
      <c r="AJ25" s="1" t="s">
        <v>815</v>
      </c>
      <c r="AT25" s="1" t="s">
        <v>2260</v>
      </c>
      <c r="BD25" s="1" t="s">
        <v>815</v>
      </c>
      <c r="BN25" s="1" t="s">
        <v>816</v>
      </c>
      <c r="BX25" s="1" t="s">
        <v>815</v>
      </c>
    </row>
    <row r="26" spans="2:83" x14ac:dyDescent="0.2">
      <c r="B26" s="1" t="s">
        <v>1928</v>
      </c>
      <c r="M26" s="1" t="s">
        <v>1932</v>
      </c>
    </row>
    <row r="27" spans="2:83" x14ac:dyDescent="0.2">
      <c r="B27" s="1" t="s">
        <v>1929</v>
      </c>
      <c r="M27" s="1" t="s">
        <v>1933</v>
      </c>
      <c r="X27" s="2" t="s">
        <v>2609</v>
      </c>
      <c r="AJ27" s="2" t="s">
        <v>2609</v>
      </c>
      <c r="AT27" s="2" t="s">
        <v>2609</v>
      </c>
      <c r="BD27" s="2" t="s">
        <v>2758</v>
      </c>
      <c r="BN27" s="2" t="s">
        <v>2977</v>
      </c>
      <c r="BX27" s="2" t="s">
        <v>2977</v>
      </c>
    </row>
    <row r="28" spans="2:83" x14ac:dyDescent="0.2">
      <c r="B28" s="1" t="s">
        <v>1930</v>
      </c>
      <c r="M28" s="1" t="s">
        <v>2038</v>
      </c>
      <c r="X28" s="1" t="s">
        <v>2261</v>
      </c>
      <c r="AF28" s="5">
        <v>-9.4219620756028633E-2</v>
      </c>
      <c r="AJ28" s="1" t="s">
        <v>821</v>
      </c>
      <c r="AT28" s="1" t="s">
        <v>2261</v>
      </c>
      <c r="BD28" s="1" t="s">
        <v>821</v>
      </c>
      <c r="BN28" s="1" t="s">
        <v>2261</v>
      </c>
      <c r="BX28" s="1" t="s">
        <v>821</v>
      </c>
    </row>
    <row r="29" spans="2:83" x14ac:dyDescent="0.2">
      <c r="B29" s="1" t="s">
        <v>1931</v>
      </c>
      <c r="M29" s="1" t="s">
        <v>2039</v>
      </c>
      <c r="X29" s="1" t="s">
        <v>2262</v>
      </c>
      <c r="AF29" s="5">
        <v>6.6835775667608649E-2</v>
      </c>
      <c r="AJ29" s="1" t="s">
        <v>820</v>
      </c>
      <c r="AT29" s="1" t="s">
        <v>2262</v>
      </c>
      <c r="BD29" s="1" t="s">
        <v>820</v>
      </c>
      <c r="BN29" s="1" t="s">
        <v>2265</v>
      </c>
      <c r="BX29" s="1" t="s">
        <v>820</v>
      </c>
    </row>
    <row r="30" spans="2:83" x14ac:dyDescent="0.2">
      <c r="B30" s="1" t="s">
        <v>1932</v>
      </c>
      <c r="M30" s="1" t="s">
        <v>1935</v>
      </c>
      <c r="X30" s="1" t="s">
        <v>2263</v>
      </c>
      <c r="AF30" s="7">
        <v>-1.8585797728121609</v>
      </c>
      <c r="AJ30" s="1" t="s">
        <v>825</v>
      </c>
      <c r="AT30" s="1" t="s">
        <v>2740</v>
      </c>
      <c r="BD30" s="1" t="s">
        <v>825</v>
      </c>
      <c r="BN30" s="1" t="s">
        <v>822</v>
      </c>
      <c r="BX30" s="1" t="s">
        <v>825</v>
      </c>
    </row>
    <row r="31" spans="2:83" x14ac:dyDescent="0.2">
      <c r="B31" s="1" t="s">
        <v>1933</v>
      </c>
      <c r="M31" s="1" t="s">
        <v>1930</v>
      </c>
      <c r="X31" s="1" t="s">
        <v>2264</v>
      </c>
      <c r="AF31" s="5">
        <v>4.3332114451722088E-2</v>
      </c>
      <c r="AJ31" s="1" t="s">
        <v>913</v>
      </c>
      <c r="AR31" s="5"/>
      <c r="AT31" s="1" t="s">
        <v>818</v>
      </c>
      <c r="BD31" s="1" t="s">
        <v>913</v>
      </c>
      <c r="BN31" s="1" t="s">
        <v>821</v>
      </c>
      <c r="BX31" s="1" t="s">
        <v>913</v>
      </c>
    </row>
    <row r="32" spans="2:83" x14ac:dyDescent="0.2">
      <c r="B32" s="1" t="s">
        <v>1934</v>
      </c>
      <c r="M32" s="1" t="s">
        <v>1929</v>
      </c>
      <c r="X32" s="1" t="s">
        <v>822</v>
      </c>
      <c r="AF32" s="7">
        <v>-2.8666872671174701</v>
      </c>
      <c r="AJ32" s="1" t="s">
        <v>2108</v>
      </c>
      <c r="AR32" s="5"/>
      <c r="AT32" s="1" t="s">
        <v>824</v>
      </c>
      <c r="BD32" s="1" t="s">
        <v>2108</v>
      </c>
      <c r="BN32" s="1" t="s">
        <v>2266</v>
      </c>
      <c r="BX32" s="1" t="s">
        <v>2108</v>
      </c>
    </row>
    <row r="33" spans="2:76" x14ac:dyDescent="0.2">
      <c r="B33" s="1" t="s">
        <v>1935</v>
      </c>
      <c r="M33" s="1" t="s">
        <v>1926</v>
      </c>
      <c r="X33" s="1" t="s">
        <v>821</v>
      </c>
      <c r="AF33" s="5">
        <v>-0.1003</v>
      </c>
      <c r="AJ33" s="1" t="s">
        <v>819</v>
      </c>
      <c r="AR33" s="5"/>
      <c r="AT33" s="1" t="s">
        <v>817</v>
      </c>
      <c r="BD33" s="1" t="s">
        <v>819</v>
      </c>
      <c r="BN33" s="1" t="s">
        <v>2262</v>
      </c>
      <c r="BX33" s="1" t="s">
        <v>819</v>
      </c>
    </row>
    <row r="34" spans="2:76" x14ac:dyDescent="0.2">
      <c r="B34" s="1" t="s">
        <v>1936</v>
      </c>
      <c r="M34" s="1" t="s">
        <v>1934</v>
      </c>
      <c r="X34" s="1" t="s">
        <v>913</v>
      </c>
      <c r="AJ34" s="1" t="s">
        <v>822</v>
      </c>
      <c r="AR34" s="5"/>
      <c r="AT34" s="1" t="s">
        <v>913</v>
      </c>
      <c r="BD34" s="1" t="s">
        <v>822</v>
      </c>
      <c r="BN34" s="1" t="s">
        <v>913</v>
      </c>
      <c r="BX34" s="1" t="s">
        <v>822</v>
      </c>
    </row>
    <row r="35" spans="2:76" x14ac:dyDescent="0.2">
      <c r="B35" s="1" t="s">
        <v>1937</v>
      </c>
      <c r="M35" s="1" t="s">
        <v>1928</v>
      </c>
      <c r="X35" s="1" t="s">
        <v>2265</v>
      </c>
      <c r="AJ35" s="1" t="s">
        <v>823</v>
      </c>
      <c r="AR35" s="5"/>
      <c r="AT35" s="1" t="s">
        <v>2265</v>
      </c>
      <c r="BD35" s="1" t="s">
        <v>823</v>
      </c>
      <c r="BN35" s="1" t="s">
        <v>2264</v>
      </c>
      <c r="BX35" s="1" t="s">
        <v>823</v>
      </c>
    </row>
    <row r="36" spans="2:76" x14ac:dyDescent="0.2">
      <c r="B36" s="1" t="s">
        <v>1938</v>
      </c>
      <c r="M36" s="2" t="s">
        <v>2040</v>
      </c>
      <c r="X36" s="1" t="s">
        <v>2266</v>
      </c>
      <c r="AJ36" s="1" t="s">
        <v>817</v>
      </c>
      <c r="AR36" s="5"/>
      <c r="AT36" s="1" t="s">
        <v>821</v>
      </c>
      <c r="BD36" s="1" t="s">
        <v>817</v>
      </c>
      <c r="BN36" s="1" t="s">
        <v>2263</v>
      </c>
      <c r="BX36" s="1" t="s">
        <v>817</v>
      </c>
    </row>
    <row r="37" spans="2:76" x14ac:dyDescent="0.2">
      <c r="B37" s="1" t="s">
        <v>1939</v>
      </c>
      <c r="M37" s="1" t="s">
        <v>1936</v>
      </c>
      <c r="X37" s="1" t="s">
        <v>817</v>
      </c>
      <c r="AJ37" s="1" t="s">
        <v>818</v>
      </c>
      <c r="AR37" s="5"/>
      <c r="AT37" s="1" t="s">
        <v>822</v>
      </c>
      <c r="BD37" s="1" t="s">
        <v>818</v>
      </c>
      <c r="BN37" s="1" t="s">
        <v>817</v>
      </c>
      <c r="BX37" s="1" t="s">
        <v>818</v>
      </c>
    </row>
    <row r="38" spans="2:76" x14ac:dyDescent="0.2">
      <c r="B38" s="1" t="s">
        <v>1940</v>
      </c>
      <c r="M38" s="1" t="s">
        <v>2041</v>
      </c>
      <c r="AR38" s="5"/>
    </row>
    <row r="39" spans="2:76" x14ac:dyDescent="0.2">
      <c r="B39" s="1" t="s">
        <v>1941</v>
      </c>
      <c r="M39" s="1" t="s">
        <v>1942</v>
      </c>
      <c r="X39" s="2" t="s">
        <v>2610</v>
      </c>
      <c r="AJ39" s="2" t="s">
        <v>2610</v>
      </c>
      <c r="AR39" s="5"/>
      <c r="AT39" s="2" t="s">
        <v>2610</v>
      </c>
      <c r="BD39" s="2" t="s">
        <v>2759</v>
      </c>
      <c r="BN39" s="2" t="s">
        <v>2978</v>
      </c>
      <c r="BX39" s="2" t="s">
        <v>2978</v>
      </c>
    </row>
    <row r="40" spans="2:76" x14ac:dyDescent="0.2">
      <c r="B40" s="1" t="s">
        <v>1942</v>
      </c>
      <c r="M40" s="1" t="s">
        <v>1943</v>
      </c>
      <c r="X40" s="1" t="s">
        <v>826</v>
      </c>
      <c r="AJ40" s="1" t="s">
        <v>826</v>
      </c>
      <c r="AR40" s="5"/>
      <c r="AT40" s="1" t="s">
        <v>826</v>
      </c>
      <c r="BD40" s="1" t="s">
        <v>826</v>
      </c>
      <c r="BN40" s="1" t="s">
        <v>826</v>
      </c>
      <c r="BX40" s="1" t="s">
        <v>826</v>
      </c>
    </row>
    <row r="41" spans="2:76" x14ac:dyDescent="0.2">
      <c r="B41" s="1" t="s">
        <v>1943</v>
      </c>
      <c r="M41" s="1" t="s">
        <v>1937</v>
      </c>
      <c r="X41" s="1" t="s">
        <v>834</v>
      </c>
      <c r="AJ41" s="1" t="s">
        <v>914</v>
      </c>
      <c r="AR41" s="5"/>
      <c r="AT41" s="1" t="s">
        <v>2269</v>
      </c>
      <c r="BD41" s="1" t="s">
        <v>914</v>
      </c>
      <c r="BN41" s="1" t="s">
        <v>2269</v>
      </c>
      <c r="BX41" s="1" t="s">
        <v>914</v>
      </c>
    </row>
    <row r="42" spans="2:76" x14ac:dyDescent="0.2">
      <c r="B42" s="1" t="s">
        <v>1944</v>
      </c>
      <c r="M42" s="1" t="s">
        <v>1945</v>
      </c>
      <c r="X42" s="1" t="s">
        <v>831</v>
      </c>
      <c r="AJ42" s="1" t="s">
        <v>831</v>
      </c>
      <c r="AR42" s="5"/>
      <c r="AT42" s="1" t="s">
        <v>2268</v>
      </c>
      <c r="BD42" s="1" t="s">
        <v>831</v>
      </c>
      <c r="BN42" s="1" t="s">
        <v>2267</v>
      </c>
      <c r="BX42" s="1" t="s">
        <v>831</v>
      </c>
    </row>
    <row r="43" spans="2:76" x14ac:dyDescent="0.2">
      <c r="B43" s="1" t="s">
        <v>1945</v>
      </c>
      <c r="M43" s="1" t="s">
        <v>1944</v>
      </c>
      <c r="X43" s="1" t="s">
        <v>2267</v>
      </c>
      <c r="AJ43" s="1" t="s">
        <v>832</v>
      </c>
      <c r="AT43" s="1" t="s">
        <v>833</v>
      </c>
      <c r="BD43" s="1" t="s">
        <v>832</v>
      </c>
      <c r="BN43" s="1" t="s">
        <v>833</v>
      </c>
      <c r="BX43" s="1" t="s">
        <v>832</v>
      </c>
    </row>
    <row r="44" spans="2:76" x14ac:dyDescent="0.2">
      <c r="B44" s="1" t="s">
        <v>1946</v>
      </c>
      <c r="M44" s="1" t="s">
        <v>1941</v>
      </c>
      <c r="X44" s="1" t="s">
        <v>833</v>
      </c>
      <c r="AJ44" s="1" t="s">
        <v>827</v>
      </c>
      <c r="AT44" s="1" t="s">
        <v>914</v>
      </c>
      <c r="BD44" s="1" t="s">
        <v>827</v>
      </c>
      <c r="BN44" s="1" t="s">
        <v>914</v>
      </c>
      <c r="BX44" s="1" t="s">
        <v>827</v>
      </c>
    </row>
    <row r="45" spans="2:76" x14ac:dyDescent="0.2">
      <c r="B45" s="1" t="s">
        <v>1947</v>
      </c>
      <c r="M45" s="1" t="s">
        <v>1940</v>
      </c>
      <c r="X45" s="1" t="s">
        <v>914</v>
      </c>
      <c r="AJ45" s="1" t="s">
        <v>834</v>
      </c>
      <c r="AT45" s="1" t="s">
        <v>831</v>
      </c>
      <c r="BD45" s="1" t="s">
        <v>834</v>
      </c>
      <c r="BN45" s="1" t="s">
        <v>827</v>
      </c>
      <c r="BX45" s="1" t="s">
        <v>834</v>
      </c>
    </row>
    <row r="46" spans="2:76" x14ac:dyDescent="0.2">
      <c r="B46" s="1" t="s">
        <v>1948</v>
      </c>
      <c r="M46" s="1" t="s">
        <v>1939</v>
      </c>
      <c r="X46" s="1" t="s">
        <v>827</v>
      </c>
      <c r="AJ46" s="1" t="s">
        <v>833</v>
      </c>
      <c r="AT46" s="1" t="s">
        <v>827</v>
      </c>
      <c r="BD46" s="1" t="s">
        <v>833</v>
      </c>
      <c r="BN46" s="1" t="s">
        <v>2268</v>
      </c>
      <c r="BX46" s="1" t="s">
        <v>833</v>
      </c>
    </row>
    <row r="47" spans="2:76" x14ac:dyDescent="0.2">
      <c r="B47" s="1" t="s">
        <v>1949</v>
      </c>
      <c r="M47" s="2" t="s">
        <v>2042</v>
      </c>
      <c r="X47" s="1" t="s">
        <v>2268</v>
      </c>
      <c r="AJ47" s="1" t="s">
        <v>830</v>
      </c>
      <c r="AT47" s="1" t="s">
        <v>834</v>
      </c>
      <c r="BD47" s="1" t="s">
        <v>830</v>
      </c>
      <c r="BN47" s="1" t="s">
        <v>834</v>
      </c>
      <c r="BX47" s="1" t="s">
        <v>830</v>
      </c>
    </row>
    <row r="48" spans="2:76" x14ac:dyDescent="0.2">
      <c r="B48" s="1" t="s">
        <v>1950</v>
      </c>
      <c r="M48" s="1" t="s">
        <v>1946</v>
      </c>
      <c r="X48" s="1" t="s">
        <v>2269</v>
      </c>
      <c r="AJ48" s="1" t="s">
        <v>829</v>
      </c>
      <c r="AT48" s="1" t="s">
        <v>2267</v>
      </c>
      <c r="BD48" s="1" t="s">
        <v>829</v>
      </c>
      <c r="BN48" s="1" t="s">
        <v>830</v>
      </c>
      <c r="BX48" s="1" t="s">
        <v>829</v>
      </c>
    </row>
    <row r="49" spans="2:76" x14ac:dyDescent="0.2">
      <c r="B49" s="1" t="s">
        <v>1951</v>
      </c>
      <c r="M49" s="1" t="s">
        <v>1953</v>
      </c>
      <c r="X49" s="1" t="s">
        <v>830</v>
      </c>
      <c r="AJ49" s="1" t="s">
        <v>828</v>
      </c>
      <c r="AT49" s="1" t="s">
        <v>2741</v>
      </c>
      <c r="BD49" s="1" t="s">
        <v>828</v>
      </c>
      <c r="BN49" s="1" t="s">
        <v>829</v>
      </c>
      <c r="BX49" s="1" t="s">
        <v>828</v>
      </c>
    </row>
    <row r="50" spans="2:76" x14ac:dyDescent="0.2">
      <c r="B50" s="1" t="s">
        <v>1952</v>
      </c>
      <c r="M50" s="1" t="s">
        <v>1954</v>
      </c>
    </row>
    <row r="51" spans="2:76" x14ac:dyDescent="0.2">
      <c r="B51" s="1" t="s">
        <v>1953</v>
      </c>
      <c r="M51" s="1" t="s">
        <v>2043</v>
      </c>
      <c r="X51" s="2" t="s">
        <v>2611</v>
      </c>
      <c r="AJ51" s="2" t="s">
        <v>2611</v>
      </c>
      <c r="AT51" s="2" t="s">
        <v>2742</v>
      </c>
      <c r="BD51" s="2" t="s">
        <v>2760</v>
      </c>
      <c r="BN51" s="2" t="s">
        <v>2979</v>
      </c>
      <c r="BX51" s="2" t="s">
        <v>2979</v>
      </c>
    </row>
    <row r="52" spans="2:76" x14ac:dyDescent="0.2">
      <c r="B52" s="1" t="s">
        <v>1954</v>
      </c>
      <c r="M52" s="1" t="s">
        <v>1950</v>
      </c>
      <c r="X52" s="1" t="s">
        <v>2270</v>
      </c>
      <c r="AJ52" s="1" t="s">
        <v>915</v>
      </c>
      <c r="AT52" s="1" t="s">
        <v>2743</v>
      </c>
      <c r="BD52" s="1" t="s">
        <v>915</v>
      </c>
      <c r="BN52" s="1" t="s">
        <v>2272</v>
      </c>
      <c r="BX52" s="1" t="s">
        <v>915</v>
      </c>
    </row>
    <row r="53" spans="2:76" x14ac:dyDescent="0.2">
      <c r="B53" s="1" t="s">
        <v>1955</v>
      </c>
      <c r="M53" s="1" t="s">
        <v>1947</v>
      </c>
      <c r="X53" s="1" t="s">
        <v>841</v>
      </c>
      <c r="AJ53" s="1" t="s">
        <v>2625</v>
      </c>
      <c r="AT53" s="1" t="s">
        <v>842</v>
      </c>
      <c r="BD53" s="1" t="s">
        <v>2625</v>
      </c>
      <c r="BN53" s="1" t="s">
        <v>842</v>
      </c>
      <c r="BX53" s="1" t="s">
        <v>2625</v>
      </c>
    </row>
    <row r="54" spans="2:76" x14ac:dyDescent="0.2">
      <c r="B54" s="1" t="s">
        <v>1956</v>
      </c>
      <c r="M54" s="1" t="s">
        <v>1949</v>
      </c>
      <c r="X54" s="1" t="s">
        <v>915</v>
      </c>
      <c r="AJ54" s="1" t="s">
        <v>916</v>
      </c>
      <c r="AT54" s="1" t="s">
        <v>836</v>
      </c>
      <c r="BD54" s="1" t="s">
        <v>916</v>
      </c>
      <c r="BN54" s="1" t="s">
        <v>839</v>
      </c>
      <c r="BX54" s="1" t="s">
        <v>916</v>
      </c>
    </row>
    <row r="55" spans="2:76" x14ac:dyDescent="0.2">
      <c r="B55" s="1" t="s">
        <v>1957</v>
      </c>
      <c r="M55" s="1" t="s">
        <v>1948</v>
      </c>
      <c r="X55" s="1" t="s">
        <v>838</v>
      </c>
      <c r="AJ55" s="1" t="s">
        <v>836</v>
      </c>
      <c r="AT55" s="1" t="s">
        <v>838</v>
      </c>
      <c r="BD55" s="1" t="s">
        <v>836</v>
      </c>
      <c r="BN55" s="1" t="s">
        <v>841</v>
      </c>
      <c r="BX55" s="1" t="s">
        <v>836</v>
      </c>
    </row>
    <row r="56" spans="2:76" x14ac:dyDescent="0.2">
      <c r="B56" s="1" t="s">
        <v>1958</v>
      </c>
      <c r="M56" s="1" t="s">
        <v>2044</v>
      </c>
      <c r="X56" s="1" t="s">
        <v>2271</v>
      </c>
      <c r="AJ56" s="1" t="s">
        <v>837</v>
      </c>
      <c r="AT56" s="1" t="s">
        <v>916</v>
      </c>
      <c r="BD56" s="1" t="s">
        <v>837</v>
      </c>
      <c r="BN56" s="1" t="s">
        <v>915</v>
      </c>
      <c r="BX56" s="1" t="s">
        <v>837</v>
      </c>
    </row>
    <row r="57" spans="2:76" x14ac:dyDescent="0.2">
      <c r="B57" s="1" t="s">
        <v>1959</v>
      </c>
      <c r="M57" s="1" t="s">
        <v>2045</v>
      </c>
      <c r="X57" s="1" t="s">
        <v>837</v>
      </c>
      <c r="AJ57" s="1" t="s">
        <v>838</v>
      </c>
      <c r="AT57" s="1" t="s">
        <v>917</v>
      </c>
      <c r="BD57" s="1" t="s">
        <v>838</v>
      </c>
      <c r="BN57" s="1" t="s">
        <v>838</v>
      </c>
      <c r="BX57" s="1" t="s">
        <v>838</v>
      </c>
    </row>
    <row r="58" spans="2:76" x14ac:dyDescent="0.2">
      <c r="B58" s="1" t="s">
        <v>1960</v>
      </c>
      <c r="M58" s="2" t="s">
        <v>2046</v>
      </c>
      <c r="X58" s="1" t="s">
        <v>836</v>
      </c>
      <c r="AJ58" s="1" t="s">
        <v>839</v>
      </c>
      <c r="AT58" s="1" t="s">
        <v>915</v>
      </c>
      <c r="BD58" s="1" t="s">
        <v>839</v>
      </c>
      <c r="BN58" s="1" t="s">
        <v>2980</v>
      </c>
      <c r="BX58" s="1" t="s">
        <v>839</v>
      </c>
    </row>
    <row r="59" spans="2:76" x14ac:dyDescent="0.2">
      <c r="B59" s="1" t="s">
        <v>1961</v>
      </c>
      <c r="M59" s="1" t="s">
        <v>1956</v>
      </c>
      <c r="X59" s="1" t="s">
        <v>2272</v>
      </c>
      <c r="AJ59" s="1" t="s">
        <v>840</v>
      </c>
      <c r="AT59" s="1" t="s">
        <v>2272</v>
      </c>
      <c r="BD59" s="1" t="s">
        <v>840</v>
      </c>
      <c r="BN59" s="1" t="s">
        <v>837</v>
      </c>
      <c r="BX59" s="1" t="s">
        <v>840</v>
      </c>
    </row>
    <row r="60" spans="2:76" x14ac:dyDescent="0.2">
      <c r="B60" s="1" t="s">
        <v>1962</v>
      </c>
      <c r="M60" s="1" t="s">
        <v>1964</v>
      </c>
      <c r="X60" s="1" t="s">
        <v>916</v>
      </c>
      <c r="AJ60" s="1" t="s">
        <v>841</v>
      </c>
      <c r="AT60" s="1" t="s">
        <v>2271</v>
      </c>
      <c r="BD60" s="1" t="s">
        <v>841</v>
      </c>
      <c r="BN60" s="1" t="s">
        <v>836</v>
      </c>
      <c r="BX60" s="1" t="s">
        <v>841</v>
      </c>
    </row>
    <row r="61" spans="2:76" x14ac:dyDescent="0.2">
      <c r="B61" s="1" t="s">
        <v>1963</v>
      </c>
      <c r="M61" s="1" t="s">
        <v>1960</v>
      </c>
      <c r="X61" s="1" t="s">
        <v>917</v>
      </c>
      <c r="AJ61" s="1" t="s">
        <v>835</v>
      </c>
      <c r="AT61" s="1" t="s">
        <v>839</v>
      </c>
      <c r="BD61" s="1" t="s">
        <v>835</v>
      </c>
      <c r="BN61" s="1" t="s">
        <v>835</v>
      </c>
      <c r="BX61" s="1" t="s">
        <v>835</v>
      </c>
    </row>
    <row r="62" spans="2:76" x14ac:dyDescent="0.2">
      <c r="B62" s="1" t="s">
        <v>1964</v>
      </c>
      <c r="M62" s="1" t="s">
        <v>1958</v>
      </c>
    </row>
    <row r="63" spans="2:76" x14ac:dyDescent="0.2">
      <c r="B63" s="1" t="s">
        <v>1965</v>
      </c>
      <c r="M63" s="1" t="s">
        <v>2047</v>
      </c>
      <c r="X63" s="2" t="s">
        <v>2612</v>
      </c>
      <c r="AJ63" s="2" t="s">
        <v>2612</v>
      </c>
      <c r="AT63" s="2" t="s">
        <v>2612</v>
      </c>
      <c r="BD63" s="2" t="s">
        <v>2761</v>
      </c>
      <c r="BN63" s="2" t="s">
        <v>2981</v>
      </c>
      <c r="BX63" s="2" t="s">
        <v>2981</v>
      </c>
    </row>
    <row r="64" spans="2:76" x14ac:dyDescent="0.2">
      <c r="B64" s="1" t="s">
        <v>1966</v>
      </c>
      <c r="M64" s="1" t="s">
        <v>1959</v>
      </c>
      <c r="X64" s="1" t="s">
        <v>843</v>
      </c>
      <c r="AJ64" s="1" t="s">
        <v>843</v>
      </c>
      <c r="AT64" s="1" t="s">
        <v>843</v>
      </c>
      <c r="BD64" s="1" t="s">
        <v>843</v>
      </c>
      <c r="BN64" s="1" t="s">
        <v>843</v>
      </c>
      <c r="BX64" s="1" t="s">
        <v>843</v>
      </c>
    </row>
    <row r="65" spans="2:76" x14ac:dyDescent="0.2">
      <c r="B65" s="1" t="s">
        <v>1967</v>
      </c>
      <c r="M65" s="1" t="s">
        <v>1962</v>
      </c>
      <c r="X65" s="1" t="s">
        <v>851</v>
      </c>
      <c r="AJ65" s="1" t="s">
        <v>849</v>
      </c>
      <c r="AT65" s="1" t="s">
        <v>2273</v>
      </c>
      <c r="BD65" s="1" t="s">
        <v>849</v>
      </c>
      <c r="BN65" s="1" t="s">
        <v>844</v>
      </c>
      <c r="BX65" s="1" t="s">
        <v>849</v>
      </c>
    </row>
    <row r="66" spans="2:76" x14ac:dyDescent="0.2">
      <c r="B66" s="1" t="s">
        <v>1968</v>
      </c>
      <c r="M66" s="1" t="s">
        <v>1963</v>
      </c>
      <c r="X66" s="1" t="s">
        <v>847</v>
      </c>
      <c r="AJ66" s="1" t="s">
        <v>847</v>
      </c>
      <c r="AT66" s="1" t="s">
        <v>918</v>
      </c>
      <c r="BD66" s="1" t="s">
        <v>847</v>
      </c>
      <c r="BN66" s="1" t="s">
        <v>848</v>
      </c>
      <c r="BX66" s="1" t="s">
        <v>847</v>
      </c>
    </row>
    <row r="67" spans="2:76" x14ac:dyDescent="0.2">
      <c r="B67" s="1" t="s">
        <v>1969</v>
      </c>
      <c r="M67" s="1" t="s">
        <v>1965</v>
      </c>
      <c r="X67" s="1" t="s">
        <v>848</v>
      </c>
      <c r="AJ67" s="1" t="s">
        <v>845</v>
      </c>
      <c r="AT67" s="1" t="s">
        <v>850</v>
      </c>
      <c r="BD67" s="1" t="s">
        <v>845</v>
      </c>
      <c r="BN67" s="1" t="s">
        <v>849</v>
      </c>
      <c r="BX67" s="1" t="s">
        <v>845</v>
      </c>
    </row>
    <row r="68" spans="2:76" x14ac:dyDescent="0.2">
      <c r="B68" s="1" t="s">
        <v>1970</v>
      </c>
      <c r="M68" s="1" t="s">
        <v>1957</v>
      </c>
      <c r="X68" s="1" t="s">
        <v>849</v>
      </c>
      <c r="AJ68" s="1" t="s">
        <v>918</v>
      </c>
      <c r="AT68" s="1" t="s">
        <v>851</v>
      </c>
      <c r="BD68" s="1" t="s">
        <v>918</v>
      </c>
      <c r="BN68" s="1" t="s">
        <v>918</v>
      </c>
      <c r="BX68" s="1" t="s">
        <v>918</v>
      </c>
    </row>
    <row r="69" spans="2:76" x14ac:dyDescent="0.2">
      <c r="B69" s="1" t="s">
        <v>1971</v>
      </c>
      <c r="M69" s="2" t="s">
        <v>2048</v>
      </c>
      <c r="X69" s="1" t="s">
        <v>918</v>
      </c>
      <c r="AJ69" s="1" t="s">
        <v>846</v>
      </c>
      <c r="AT69" s="1" t="s">
        <v>845</v>
      </c>
      <c r="BD69" s="1" t="s">
        <v>846</v>
      </c>
      <c r="BN69" s="1" t="s">
        <v>846</v>
      </c>
      <c r="BX69" s="1" t="s">
        <v>846</v>
      </c>
    </row>
    <row r="70" spans="2:76" x14ac:dyDescent="0.2">
      <c r="B70" s="1" t="s">
        <v>1972</v>
      </c>
      <c r="M70" s="1" t="s">
        <v>1973</v>
      </c>
      <c r="X70" s="1" t="s">
        <v>846</v>
      </c>
      <c r="AJ70" s="1" t="s">
        <v>850</v>
      </c>
      <c r="AT70" s="1" t="s">
        <v>852</v>
      </c>
      <c r="BD70" s="1" t="s">
        <v>850</v>
      </c>
      <c r="BN70" s="1" t="s">
        <v>850</v>
      </c>
      <c r="BX70" s="1" t="s">
        <v>850</v>
      </c>
    </row>
    <row r="71" spans="2:76" x14ac:dyDescent="0.2">
      <c r="B71" s="1" t="s">
        <v>1973</v>
      </c>
      <c r="M71" s="1" t="s">
        <v>2049</v>
      </c>
      <c r="X71" s="1" t="s">
        <v>850</v>
      </c>
      <c r="AJ71" s="1" t="s">
        <v>851</v>
      </c>
      <c r="AT71" s="1" t="s">
        <v>847</v>
      </c>
      <c r="BD71" s="1" t="s">
        <v>851</v>
      </c>
      <c r="BN71" s="1" t="s">
        <v>851</v>
      </c>
      <c r="BX71" s="1" t="s">
        <v>851</v>
      </c>
    </row>
    <row r="72" spans="2:76" x14ac:dyDescent="0.2">
      <c r="B72" s="1" t="s">
        <v>1974</v>
      </c>
      <c r="M72" s="1" t="s">
        <v>1970</v>
      </c>
      <c r="X72" s="1" t="s">
        <v>845</v>
      </c>
      <c r="AJ72" s="1" t="s">
        <v>852</v>
      </c>
      <c r="AT72" s="1" t="s">
        <v>848</v>
      </c>
      <c r="BD72" s="1" t="s">
        <v>852</v>
      </c>
      <c r="BN72" s="1" t="s">
        <v>845</v>
      </c>
      <c r="BX72" s="1" t="s">
        <v>852</v>
      </c>
    </row>
    <row r="73" spans="2:76" x14ac:dyDescent="0.2">
      <c r="B73" s="1" t="s">
        <v>1975</v>
      </c>
      <c r="M73" s="1" t="s">
        <v>1968</v>
      </c>
      <c r="X73" s="1" t="s">
        <v>2273</v>
      </c>
      <c r="AJ73" s="1" t="s">
        <v>844</v>
      </c>
      <c r="AT73" s="1" t="s">
        <v>844</v>
      </c>
      <c r="BD73" s="1" t="s">
        <v>844</v>
      </c>
      <c r="BN73" s="1" t="s">
        <v>852</v>
      </c>
      <c r="BX73" s="1" t="s">
        <v>844</v>
      </c>
    </row>
    <row r="74" spans="2:76" x14ac:dyDescent="0.2">
      <c r="B74" s="1" t="s">
        <v>1976</v>
      </c>
      <c r="M74" s="1" t="s">
        <v>1969</v>
      </c>
    </row>
    <row r="75" spans="2:76" x14ac:dyDescent="0.2">
      <c r="B75" s="1" t="s">
        <v>1977</v>
      </c>
      <c r="M75" s="1" t="s">
        <v>2050</v>
      </c>
      <c r="X75" s="2" t="s">
        <v>2613</v>
      </c>
      <c r="AJ75" s="2" t="s">
        <v>2613</v>
      </c>
      <c r="AT75" s="2" t="s">
        <v>2613</v>
      </c>
      <c r="BD75" s="2" t="s">
        <v>2762</v>
      </c>
      <c r="BN75" s="2" t="s">
        <v>2982</v>
      </c>
      <c r="BX75" s="2" t="s">
        <v>2982</v>
      </c>
    </row>
    <row r="76" spans="2:76" x14ac:dyDescent="0.2">
      <c r="B76" s="1" t="s">
        <v>1978</v>
      </c>
      <c r="M76" s="1" t="s">
        <v>2051</v>
      </c>
      <c r="X76" s="1" t="s">
        <v>860</v>
      </c>
      <c r="AJ76" s="1" t="s">
        <v>853</v>
      </c>
      <c r="AT76" s="1" t="s">
        <v>860</v>
      </c>
      <c r="BD76" s="1" t="s">
        <v>853</v>
      </c>
      <c r="BN76" s="1" t="s">
        <v>860</v>
      </c>
      <c r="BX76" s="1" t="s">
        <v>853</v>
      </c>
    </row>
    <row r="77" spans="2:76" x14ac:dyDescent="0.2">
      <c r="B77" s="1" t="s">
        <v>1979</v>
      </c>
      <c r="M77" s="1" t="s">
        <v>2052</v>
      </c>
      <c r="X77" s="1" t="s">
        <v>2274</v>
      </c>
      <c r="AJ77" s="1" t="s">
        <v>919</v>
      </c>
      <c r="AT77" s="1" t="s">
        <v>2276</v>
      </c>
      <c r="BD77" s="1" t="s">
        <v>919</v>
      </c>
      <c r="BN77" s="1" t="s">
        <v>2276</v>
      </c>
      <c r="BX77" s="1" t="s">
        <v>919</v>
      </c>
    </row>
    <row r="78" spans="2:76" x14ac:dyDescent="0.2">
      <c r="B78" s="1" t="s">
        <v>1980</v>
      </c>
      <c r="M78" s="1" t="s">
        <v>1971</v>
      </c>
      <c r="X78" s="1" t="s">
        <v>2275</v>
      </c>
      <c r="AJ78" s="1" t="s">
        <v>857</v>
      </c>
      <c r="AT78" s="1" t="s">
        <v>920</v>
      </c>
      <c r="BD78" s="1" t="s">
        <v>857</v>
      </c>
      <c r="BN78" s="1" t="s">
        <v>858</v>
      </c>
      <c r="BX78" s="1" t="s">
        <v>857</v>
      </c>
    </row>
    <row r="79" spans="2:76" x14ac:dyDescent="0.2">
      <c r="B79" s="1" t="s">
        <v>1981</v>
      </c>
      <c r="M79" s="1" t="s">
        <v>1966</v>
      </c>
      <c r="X79" s="1" t="s">
        <v>861</v>
      </c>
      <c r="AJ79" s="1" t="s">
        <v>855</v>
      </c>
      <c r="AT79" s="1" t="s">
        <v>855</v>
      </c>
      <c r="BD79" s="1" t="s">
        <v>855</v>
      </c>
      <c r="BN79" s="1" t="s">
        <v>2275</v>
      </c>
      <c r="BX79" s="1" t="s">
        <v>855</v>
      </c>
    </row>
    <row r="80" spans="2:76" x14ac:dyDescent="0.2">
      <c r="B80" s="1" t="s">
        <v>1982</v>
      </c>
      <c r="M80" s="2" t="s">
        <v>2053</v>
      </c>
      <c r="X80" s="1" t="s">
        <v>920</v>
      </c>
      <c r="AJ80" s="1" t="s">
        <v>856</v>
      </c>
      <c r="AT80" s="1" t="s">
        <v>856</v>
      </c>
      <c r="BD80" s="1" t="s">
        <v>856</v>
      </c>
      <c r="BN80" s="1" t="s">
        <v>920</v>
      </c>
      <c r="BX80" s="1" t="s">
        <v>856</v>
      </c>
    </row>
    <row r="81" spans="2:76" x14ac:dyDescent="0.2">
      <c r="B81" s="1" t="s">
        <v>1983</v>
      </c>
      <c r="M81" s="1" t="s">
        <v>1976</v>
      </c>
      <c r="X81" s="1" t="s">
        <v>858</v>
      </c>
      <c r="AJ81" s="1" t="s">
        <v>920</v>
      </c>
      <c r="AT81" s="1" t="s">
        <v>858</v>
      </c>
      <c r="BD81" s="1" t="s">
        <v>920</v>
      </c>
      <c r="BN81" s="1" t="s">
        <v>861</v>
      </c>
      <c r="BX81" s="1" t="s">
        <v>920</v>
      </c>
    </row>
    <row r="82" spans="2:76" x14ac:dyDescent="0.2">
      <c r="B82" s="1" t="s">
        <v>1984</v>
      </c>
      <c r="M82" s="1" t="s">
        <v>1977</v>
      </c>
      <c r="X82" s="1" t="s">
        <v>856</v>
      </c>
      <c r="AJ82" s="1" t="s">
        <v>921</v>
      </c>
      <c r="AT82" s="1" t="s">
        <v>2275</v>
      </c>
      <c r="BD82" s="1" t="s">
        <v>921</v>
      </c>
      <c r="BN82" s="1" t="s">
        <v>2277</v>
      </c>
      <c r="BX82" s="1" t="s">
        <v>921</v>
      </c>
    </row>
    <row r="83" spans="2:76" x14ac:dyDescent="0.2">
      <c r="B83" s="1" t="s">
        <v>1985</v>
      </c>
      <c r="M83" s="1" t="s">
        <v>1978</v>
      </c>
      <c r="X83" s="1" t="s">
        <v>854</v>
      </c>
      <c r="AJ83" s="1" t="s">
        <v>922</v>
      </c>
      <c r="AT83" s="1" t="s">
        <v>2277</v>
      </c>
      <c r="BD83" s="1" t="s">
        <v>922</v>
      </c>
      <c r="BN83" s="1" t="s">
        <v>855</v>
      </c>
      <c r="BX83" s="1" t="s">
        <v>922</v>
      </c>
    </row>
    <row r="84" spans="2:76" x14ac:dyDescent="0.2">
      <c r="B84" s="1" t="s">
        <v>1986</v>
      </c>
      <c r="M84" s="1" t="s">
        <v>1981</v>
      </c>
      <c r="X84" s="1" t="s">
        <v>2276</v>
      </c>
      <c r="AJ84" s="1" t="s">
        <v>858</v>
      </c>
      <c r="AT84" s="1" t="s">
        <v>854</v>
      </c>
      <c r="BD84" s="1" t="s">
        <v>858</v>
      </c>
      <c r="BN84" s="1" t="s">
        <v>854</v>
      </c>
      <c r="BX84" s="1" t="s">
        <v>858</v>
      </c>
    </row>
    <row r="85" spans="2:76" x14ac:dyDescent="0.2">
      <c r="B85" s="1" t="s">
        <v>1987</v>
      </c>
      <c r="M85" s="1" t="s">
        <v>1983</v>
      </c>
      <c r="X85" s="1" t="s">
        <v>2277</v>
      </c>
      <c r="AJ85" s="1" t="s">
        <v>859</v>
      </c>
      <c r="AT85" s="1" t="s">
        <v>861</v>
      </c>
      <c r="BD85" s="1" t="s">
        <v>859</v>
      </c>
      <c r="BN85" s="1" t="s">
        <v>2983</v>
      </c>
      <c r="BX85" s="1" t="s">
        <v>859</v>
      </c>
    </row>
    <row r="86" spans="2:76" x14ac:dyDescent="0.2">
      <c r="B86" s="1" t="s">
        <v>1988</v>
      </c>
      <c r="M86" s="1" t="s">
        <v>2054</v>
      </c>
    </row>
    <row r="87" spans="2:76" x14ac:dyDescent="0.2">
      <c r="B87" s="1" t="s">
        <v>1989</v>
      </c>
      <c r="M87" s="1" t="s">
        <v>2055</v>
      </c>
      <c r="X87" s="2" t="s">
        <v>2614</v>
      </c>
      <c r="AJ87" s="2" t="s">
        <v>2614</v>
      </c>
      <c r="AT87" s="2" t="s">
        <v>2744</v>
      </c>
      <c r="BD87" s="2" t="s">
        <v>2763</v>
      </c>
      <c r="BN87" s="2" t="s">
        <v>2984</v>
      </c>
      <c r="BX87" s="2" t="s">
        <v>2984</v>
      </c>
    </row>
    <row r="88" spans="2:76" x14ac:dyDescent="0.2">
      <c r="B88" s="1" t="s">
        <v>1990</v>
      </c>
      <c r="M88" s="1" t="s">
        <v>2056</v>
      </c>
      <c r="X88" s="1" t="s">
        <v>862</v>
      </c>
      <c r="AJ88" s="1" t="s">
        <v>866</v>
      </c>
      <c r="AT88" s="1" t="s">
        <v>862</v>
      </c>
      <c r="BD88" s="1" t="s">
        <v>866</v>
      </c>
      <c r="BN88" s="1" t="s">
        <v>862</v>
      </c>
      <c r="BX88" s="1" t="s">
        <v>866</v>
      </c>
    </row>
    <row r="89" spans="2:76" x14ac:dyDescent="0.2">
      <c r="B89" s="1" t="s">
        <v>1991</v>
      </c>
      <c r="M89" s="1" t="s">
        <v>1984</v>
      </c>
      <c r="X89" s="1" t="s">
        <v>2278</v>
      </c>
      <c r="AJ89" s="1" t="s">
        <v>864</v>
      </c>
      <c r="AT89" s="1" t="s">
        <v>2278</v>
      </c>
      <c r="BD89" s="1" t="s">
        <v>864</v>
      </c>
      <c r="BN89" s="1" t="s">
        <v>863</v>
      </c>
      <c r="BX89" s="1" t="s">
        <v>864</v>
      </c>
    </row>
    <row r="90" spans="2:76" x14ac:dyDescent="0.2">
      <c r="B90" s="1" t="s">
        <v>1992</v>
      </c>
      <c r="M90" s="1" t="s">
        <v>1985</v>
      </c>
      <c r="X90" s="1" t="s">
        <v>865</v>
      </c>
      <c r="AJ90" s="1" t="s">
        <v>865</v>
      </c>
      <c r="AT90" s="1" t="s">
        <v>865</v>
      </c>
      <c r="BD90" s="1" t="s">
        <v>865</v>
      </c>
      <c r="BN90" s="1" t="s">
        <v>2985</v>
      </c>
      <c r="BX90" s="1" t="s">
        <v>865</v>
      </c>
    </row>
    <row r="91" spans="2:76" x14ac:dyDescent="0.2">
      <c r="B91" s="1" t="s">
        <v>1993</v>
      </c>
      <c r="M91" s="2" t="s">
        <v>2057</v>
      </c>
      <c r="X91" s="1" t="s">
        <v>2279</v>
      </c>
      <c r="AJ91" s="1" t="s">
        <v>2626</v>
      </c>
      <c r="AT91" s="1" t="s">
        <v>2279</v>
      </c>
      <c r="BD91" s="1" t="s">
        <v>2626</v>
      </c>
      <c r="BN91" s="1" t="s">
        <v>868</v>
      </c>
      <c r="BX91" s="1" t="s">
        <v>2626</v>
      </c>
    </row>
    <row r="92" spans="2:76" x14ac:dyDescent="0.2">
      <c r="B92" s="1" t="s">
        <v>1994</v>
      </c>
      <c r="M92" s="1" t="s">
        <v>1987</v>
      </c>
      <c r="X92" s="1" t="s">
        <v>924</v>
      </c>
      <c r="AJ92" s="1" t="s">
        <v>2627</v>
      </c>
      <c r="AT92" s="1" t="s">
        <v>924</v>
      </c>
      <c r="BD92" s="1" t="s">
        <v>2627</v>
      </c>
      <c r="BN92" s="1" t="s">
        <v>2278</v>
      </c>
      <c r="BX92" s="1" t="s">
        <v>2627</v>
      </c>
    </row>
    <row r="93" spans="2:76" x14ac:dyDescent="0.2">
      <c r="B93" s="1" t="s">
        <v>1995</v>
      </c>
      <c r="M93" s="1" t="s">
        <v>1986</v>
      </c>
      <c r="X93" s="1" t="s">
        <v>869</v>
      </c>
      <c r="AJ93" s="1" t="s">
        <v>867</v>
      </c>
      <c r="AT93" s="1" t="s">
        <v>869</v>
      </c>
      <c r="BD93" s="1" t="s">
        <v>867</v>
      </c>
      <c r="BN93" s="1" t="s">
        <v>2280</v>
      </c>
      <c r="BX93" s="1" t="s">
        <v>867</v>
      </c>
    </row>
    <row r="94" spans="2:76" x14ac:dyDescent="0.2">
      <c r="B94" s="1" t="s">
        <v>1996</v>
      </c>
      <c r="M94" s="1" t="s">
        <v>1991</v>
      </c>
      <c r="X94" s="1" t="s">
        <v>870</v>
      </c>
      <c r="AJ94" s="1" t="s">
        <v>924</v>
      </c>
      <c r="AT94" s="1" t="s">
        <v>870</v>
      </c>
      <c r="BD94" s="1" t="s">
        <v>924</v>
      </c>
      <c r="BN94" s="1" t="s">
        <v>923</v>
      </c>
      <c r="BX94" s="1" t="s">
        <v>924</v>
      </c>
    </row>
    <row r="95" spans="2:76" x14ac:dyDescent="0.2">
      <c r="B95" s="1" t="s">
        <v>1997</v>
      </c>
      <c r="M95" s="1" t="s">
        <v>1992</v>
      </c>
      <c r="X95" s="1" t="s">
        <v>923</v>
      </c>
      <c r="AJ95" s="1" t="s">
        <v>869</v>
      </c>
      <c r="AT95" s="1" t="s">
        <v>923</v>
      </c>
      <c r="BD95" s="1" t="s">
        <v>869</v>
      </c>
      <c r="BN95" s="1" t="s">
        <v>869</v>
      </c>
      <c r="BX95" s="1" t="s">
        <v>869</v>
      </c>
    </row>
    <row r="96" spans="2:76" x14ac:dyDescent="0.2">
      <c r="B96" s="1" t="s">
        <v>1998</v>
      </c>
      <c r="M96" s="1" t="s">
        <v>1988</v>
      </c>
      <c r="X96" s="1" t="s">
        <v>863</v>
      </c>
      <c r="AJ96" s="1" t="s">
        <v>923</v>
      </c>
      <c r="AT96" s="1" t="s">
        <v>863</v>
      </c>
      <c r="BD96" s="1" t="s">
        <v>923</v>
      </c>
      <c r="BN96" s="1" t="s">
        <v>864</v>
      </c>
      <c r="BX96" s="1" t="s">
        <v>923</v>
      </c>
    </row>
    <row r="97" spans="2:76" x14ac:dyDescent="0.2">
      <c r="B97" s="1" t="s">
        <v>1999</v>
      </c>
      <c r="M97" s="1" t="s">
        <v>1989</v>
      </c>
      <c r="X97" s="1" t="s">
        <v>2280</v>
      </c>
      <c r="AJ97" s="1" t="s">
        <v>868</v>
      </c>
      <c r="AT97" s="1" t="s">
        <v>2280</v>
      </c>
      <c r="BD97" s="1" t="s">
        <v>868</v>
      </c>
      <c r="BN97" s="1" t="s">
        <v>924</v>
      </c>
      <c r="BX97" s="1" t="s">
        <v>868</v>
      </c>
    </row>
    <row r="98" spans="2:76" x14ac:dyDescent="0.2">
      <c r="B98" s="1" t="s">
        <v>2000</v>
      </c>
      <c r="M98" s="1" t="s">
        <v>1993</v>
      </c>
    </row>
    <row r="99" spans="2:76" x14ac:dyDescent="0.2">
      <c r="B99" s="1" t="s">
        <v>2001</v>
      </c>
      <c r="M99" s="1" t="s">
        <v>1990</v>
      </c>
      <c r="X99" s="2" t="s">
        <v>2615</v>
      </c>
      <c r="AJ99" s="2" t="s">
        <v>2615</v>
      </c>
      <c r="AT99" s="2" t="s">
        <v>2745</v>
      </c>
      <c r="BD99" s="2" t="s">
        <v>2764</v>
      </c>
      <c r="BN99" s="2" t="s">
        <v>2986</v>
      </c>
      <c r="BX99" s="2" t="s">
        <v>2986</v>
      </c>
    </row>
    <row r="100" spans="2:76" x14ac:dyDescent="0.2">
      <c r="B100" s="1" t="s">
        <v>2002</v>
      </c>
      <c r="M100" s="1" t="s">
        <v>1995</v>
      </c>
      <c r="X100" s="1" t="s">
        <v>877</v>
      </c>
      <c r="AJ100" s="1" t="s">
        <v>872</v>
      </c>
      <c r="AT100" s="1" t="s">
        <v>872</v>
      </c>
      <c r="BD100" s="1" t="s">
        <v>872</v>
      </c>
      <c r="BN100" s="1" t="s">
        <v>871</v>
      </c>
      <c r="BX100" s="1" t="s">
        <v>872</v>
      </c>
    </row>
    <row r="101" spans="2:76" x14ac:dyDescent="0.2">
      <c r="B101" s="1" t="s">
        <v>2003</v>
      </c>
      <c r="M101" s="1" t="s">
        <v>2058</v>
      </c>
      <c r="X101" s="1" t="s">
        <v>2281</v>
      </c>
      <c r="AJ101" s="1" t="s">
        <v>871</v>
      </c>
      <c r="AT101" s="1" t="s">
        <v>2281</v>
      </c>
      <c r="BD101" s="1" t="s">
        <v>871</v>
      </c>
      <c r="BN101" s="1" t="s">
        <v>873</v>
      </c>
      <c r="BX101" s="1" t="s">
        <v>871</v>
      </c>
    </row>
    <row r="102" spans="2:76" x14ac:dyDescent="0.2">
      <c r="B102" s="1" t="s">
        <v>2004</v>
      </c>
      <c r="M102" s="2" t="s">
        <v>2059</v>
      </c>
      <c r="X102" s="1" t="s">
        <v>2282</v>
      </c>
      <c r="AJ102" s="1" t="s">
        <v>876</v>
      </c>
      <c r="AT102" s="1" t="s">
        <v>2282</v>
      </c>
      <c r="BD102" s="1" t="s">
        <v>876</v>
      </c>
      <c r="BN102" s="1" t="s">
        <v>2281</v>
      </c>
      <c r="BX102" s="1" t="s">
        <v>876</v>
      </c>
    </row>
    <row r="103" spans="2:76" x14ac:dyDescent="0.2">
      <c r="B103" s="1" t="s">
        <v>2005</v>
      </c>
      <c r="M103" s="1" t="s">
        <v>1996</v>
      </c>
      <c r="X103" s="1" t="s">
        <v>873</v>
      </c>
      <c r="AJ103" s="1" t="s">
        <v>877</v>
      </c>
      <c r="AT103" s="1" t="s">
        <v>871</v>
      </c>
      <c r="BD103" s="1" t="s">
        <v>877</v>
      </c>
      <c r="BN103" s="1" t="s">
        <v>2282</v>
      </c>
      <c r="BX103" s="1" t="s">
        <v>877</v>
      </c>
    </row>
    <row r="104" spans="2:76" x14ac:dyDescent="0.2">
      <c r="B104" s="1" t="s">
        <v>2006</v>
      </c>
      <c r="M104" s="1" t="s">
        <v>2004</v>
      </c>
      <c r="X104" s="1" t="s">
        <v>878</v>
      </c>
      <c r="AJ104" s="1" t="s">
        <v>873</v>
      </c>
      <c r="AT104" s="1" t="s">
        <v>877</v>
      </c>
      <c r="BD104" s="1" t="s">
        <v>873</v>
      </c>
      <c r="BN104" s="1" t="s">
        <v>877</v>
      </c>
      <c r="BX104" s="1" t="s">
        <v>873</v>
      </c>
    </row>
    <row r="105" spans="2:76" x14ac:dyDescent="0.2">
      <c r="B105" s="1" t="s">
        <v>2007</v>
      </c>
      <c r="M105" s="1" t="s">
        <v>2060</v>
      </c>
      <c r="X105" s="1" t="s">
        <v>872</v>
      </c>
      <c r="AJ105" s="1" t="s">
        <v>874</v>
      </c>
      <c r="AT105" s="1" t="s">
        <v>878</v>
      </c>
      <c r="BD105" s="1" t="s">
        <v>874</v>
      </c>
      <c r="BN105" s="1" t="s">
        <v>872</v>
      </c>
      <c r="BX105" s="1" t="s">
        <v>874</v>
      </c>
    </row>
    <row r="106" spans="2:76" x14ac:dyDescent="0.2">
      <c r="B106" s="1" t="s">
        <v>2008</v>
      </c>
      <c r="M106" s="1" t="s">
        <v>2061</v>
      </c>
      <c r="X106" s="1" t="s">
        <v>871</v>
      </c>
      <c r="AJ106" s="1" t="s">
        <v>875</v>
      </c>
      <c r="AT106" s="1" t="s">
        <v>873</v>
      </c>
      <c r="BD106" s="1" t="s">
        <v>875</v>
      </c>
      <c r="BN106" s="1" t="s">
        <v>878</v>
      </c>
      <c r="BX106" s="1" t="s">
        <v>875</v>
      </c>
    </row>
    <row r="107" spans="2:76" x14ac:dyDescent="0.2">
      <c r="B107" s="1" t="s">
        <v>2009</v>
      </c>
      <c r="M107" s="1" t="s">
        <v>2062</v>
      </c>
      <c r="X107" s="1" t="s">
        <v>2283</v>
      </c>
      <c r="AJ107" s="1" t="s">
        <v>878</v>
      </c>
      <c r="AT107" s="1" t="s">
        <v>2746</v>
      </c>
      <c r="BD107" s="1" t="s">
        <v>878</v>
      </c>
      <c r="BN107" s="1" t="s">
        <v>2109</v>
      </c>
      <c r="BX107" s="1" t="s">
        <v>878</v>
      </c>
    </row>
    <row r="108" spans="2:76" x14ac:dyDescent="0.2">
      <c r="B108" s="1" t="s">
        <v>2010</v>
      </c>
      <c r="M108" s="1" t="s">
        <v>2005</v>
      </c>
      <c r="X108" s="1" t="s">
        <v>2284</v>
      </c>
      <c r="AJ108" s="1" t="s">
        <v>879</v>
      </c>
      <c r="AT108" s="1" t="s">
        <v>2747</v>
      </c>
      <c r="BD108" s="1" t="s">
        <v>879</v>
      </c>
      <c r="BN108" s="1" t="s">
        <v>2283</v>
      </c>
      <c r="BX108" s="1" t="s">
        <v>879</v>
      </c>
    </row>
    <row r="109" spans="2:76" x14ac:dyDescent="0.2">
      <c r="B109" s="1" t="s">
        <v>2011</v>
      </c>
      <c r="M109" s="1" t="s">
        <v>2000</v>
      </c>
      <c r="X109" s="1" t="s">
        <v>2285</v>
      </c>
      <c r="AJ109" s="1" t="s">
        <v>2109</v>
      </c>
      <c r="AT109" s="1" t="s">
        <v>2748</v>
      </c>
      <c r="BD109" s="1" t="s">
        <v>2109</v>
      </c>
      <c r="BN109" s="1" t="s">
        <v>2987</v>
      </c>
      <c r="BX109" s="1" t="s">
        <v>2109</v>
      </c>
    </row>
    <row r="110" spans="2:76" x14ac:dyDescent="0.2">
      <c r="B110" s="1" t="s">
        <v>2012</v>
      </c>
      <c r="M110" s="1" t="s">
        <v>1998</v>
      </c>
    </row>
    <row r="111" spans="2:76" x14ac:dyDescent="0.2">
      <c r="B111" s="1" t="s">
        <v>2013</v>
      </c>
      <c r="M111" s="1" t="s">
        <v>1997</v>
      </c>
      <c r="X111" s="2" t="s">
        <v>2616</v>
      </c>
      <c r="AJ111" s="2" t="s">
        <v>2616</v>
      </c>
      <c r="AT111" s="2" t="s">
        <v>2749</v>
      </c>
      <c r="BD111" s="2" t="s">
        <v>2765</v>
      </c>
      <c r="BN111" s="2" t="s">
        <v>2988</v>
      </c>
      <c r="BX111" s="2" t="s">
        <v>2988</v>
      </c>
    </row>
    <row r="112" spans="2:76" x14ac:dyDescent="0.2">
      <c r="B112" s="1" t="s">
        <v>2014</v>
      </c>
      <c r="M112" s="1" t="s">
        <v>2001</v>
      </c>
      <c r="X112" s="1" t="s">
        <v>880</v>
      </c>
      <c r="AJ112" s="1" t="s">
        <v>880</v>
      </c>
      <c r="AT112" s="1" t="s">
        <v>880</v>
      </c>
      <c r="BD112" s="1" t="s">
        <v>880</v>
      </c>
      <c r="BN112" s="1" t="s">
        <v>880</v>
      </c>
      <c r="BX112" s="1" t="s">
        <v>880</v>
      </c>
    </row>
    <row r="113" spans="2:76" x14ac:dyDescent="0.2">
      <c r="B113" s="1" t="s">
        <v>2015</v>
      </c>
      <c r="M113" s="2" t="s">
        <v>2063</v>
      </c>
      <c r="X113" s="1" t="s">
        <v>888</v>
      </c>
      <c r="AJ113" s="1" t="s">
        <v>888</v>
      </c>
      <c r="AT113" s="1" t="s">
        <v>888</v>
      </c>
      <c r="BD113" s="1" t="s">
        <v>888</v>
      </c>
      <c r="BN113" s="1" t="s">
        <v>888</v>
      </c>
      <c r="BX113" s="1" t="s">
        <v>888</v>
      </c>
    </row>
    <row r="114" spans="2:76" x14ac:dyDescent="0.2">
      <c r="B114" s="1" t="s">
        <v>2016</v>
      </c>
      <c r="M114" s="1" t="s">
        <v>2006</v>
      </c>
      <c r="X114" s="1" t="s">
        <v>925</v>
      </c>
      <c r="AJ114" s="1" t="s">
        <v>927</v>
      </c>
      <c r="AT114" s="1" t="s">
        <v>925</v>
      </c>
      <c r="BD114" s="1" t="s">
        <v>927</v>
      </c>
      <c r="BN114" s="1" t="s">
        <v>925</v>
      </c>
      <c r="BX114" s="1" t="s">
        <v>927</v>
      </c>
    </row>
    <row r="115" spans="2:76" x14ac:dyDescent="0.2">
      <c r="B115" s="1" t="s">
        <v>2017</v>
      </c>
      <c r="M115" s="1" t="s">
        <v>2064</v>
      </c>
      <c r="X115" s="1" t="s">
        <v>926</v>
      </c>
      <c r="AJ115" s="1" t="s">
        <v>883</v>
      </c>
      <c r="AT115" s="1" t="s">
        <v>926</v>
      </c>
      <c r="BD115" s="1" t="s">
        <v>883</v>
      </c>
      <c r="BN115" s="1" t="s">
        <v>926</v>
      </c>
      <c r="BX115" s="1" t="s">
        <v>883</v>
      </c>
    </row>
    <row r="116" spans="2:76" x14ac:dyDescent="0.2">
      <c r="B116" s="1" t="s">
        <v>2018</v>
      </c>
      <c r="M116" s="1" t="s">
        <v>2008</v>
      </c>
      <c r="X116" s="1" t="s">
        <v>927</v>
      </c>
      <c r="AJ116" s="1" t="s">
        <v>884</v>
      </c>
      <c r="AT116" s="1" t="s">
        <v>927</v>
      </c>
      <c r="BD116" s="1" t="s">
        <v>884</v>
      </c>
      <c r="BN116" s="1" t="s">
        <v>927</v>
      </c>
      <c r="BX116" s="1" t="s">
        <v>884</v>
      </c>
    </row>
    <row r="117" spans="2:76" x14ac:dyDescent="0.2">
      <c r="B117" s="1" t="s">
        <v>2019</v>
      </c>
      <c r="M117" s="1" t="s">
        <v>2065</v>
      </c>
      <c r="X117" s="1" t="s">
        <v>889</v>
      </c>
      <c r="AJ117" s="1" t="s">
        <v>882</v>
      </c>
      <c r="AT117" s="1" t="s">
        <v>889</v>
      </c>
      <c r="BD117" s="1" t="s">
        <v>882</v>
      </c>
      <c r="BN117" s="1" t="s">
        <v>889</v>
      </c>
      <c r="BX117" s="1" t="s">
        <v>882</v>
      </c>
    </row>
    <row r="118" spans="2:76" x14ac:dyDescent="0.2">
      <c r="B118" s="1" t="s">
        <v>2020</v>
      </c>
      <c r="M118" s="1" t="s">
        <v>2010</v>
      </c>
      <c r="X118" s="1" t="s">
        <v>884</v>
      </c>
      <c r="AJ118" s="1" t="s">
        <v>881</v>
      </c>
      <c r="AT118" s="1" t="s">
        <v>884</v>
      </c>
      <c r="BD118" s="1" t="s">
        <v>881</v>
      </c>
      <c r="BN118" s="1" t="s">
        <v>884</v>
      </c>
      <c r="BX118" s="1" t="s">
        <v>881</v>
      </c>
    </row>
    <row r="119" spans="2:76" x14ac:dyDescent="0.2">
      <c r="B119" s="1" t="s">
        <v>2021</v>
      </c>
      <c r="M119" s="1" t="s">
        <v>2011</v>
      </c>
      <c r="X119" s="1" t="s">
        <v>882</v>
      </c>
      <c r="AJ119" s="1" t="s">
        <v>885</v>
      </c>
      <c r="AT119" s="1" t="s">
        <v>882</v>
      </c>
      <c r="BD119" s="1" t="s">
        <v>885</v>
      </c>
      <c r="BN119" s="1" t="s">
        <v>882</v>
      </c>
      <c r="BX119" s="1" t="s">
        <v>885</v>
      </c>
    </row>
    <row r="120" spans="2:76" x14ac:dyDescent="0.2">
      <c r="B120" s="1" t="s">
        <v>2022</v>
      </c>
      <c r="M120" s="1" t="s">
        <v>2012</v>
      </c>
      <c r="X120" s="1" t="s">
        <v>881</v>
      </c>
      <c r="AJ120" s="1" t="s">
        <v>886</v>
      </c>
      <c r="AT120" s="1" t="s">
        <v>881</v>
      </c>
      <c r="BD120" s="1" t="s">
        <v>886</v>
      </c>
      <c r="BN120" s="1" t="s">
        <v>881</v>
      </c>
      <c r="BX120" s="1" t="s">
        <v>886</v>
      </c>
    </row>
    <row r="121" spans="2:76" x14ac:dyDescent="0.2">
      <c r="B121" s="1" t="s">
        <v>2023</v>
      </c>
      <c r="M121" s="1" t="s">
        <v>2013</v>
      </c>
      <c r="X121" s="1" t="s">
        <v>885</v>
      </c>
      <c r="AJ121" s="1" t="s">
        <v>887</v>
      </c>
      <c r="AT121" s="1" t="s">
        <v>885</v>
      </c>
      <c r="BD121" s="1" t="s">
        <v>887</v>
      </c>
      <c r="BN121" s="1" t="s">
        <v>885</v>
      </c>
      <c r="BX121" s="1" t="s">
        <v>887</v>
      </c>
    </row>
    <row r="122" spans="2:76" x14ac:dyDescent="0.2">
      <c r="B122" s="1" t="s">
        <v>2024</v>
      </c>
      <c r="M122" s="1" t="s">
        <v>2066</v>
      </c>
    </row>
    <row r="123" spans="2:76" x14ac:dyDescent="0.2">
      <c r="B123" s="1" t="s">
        <v>2025</v>
      </c>
      <c r="M123" s="1" t="s">
        <v>2067</v>
      </c>
      <c r="X123" s="2" t="s">
        <v>2617</v>
      </c>
      <c r="AJ123" s="1" t="s">
        <v>890</v>
      </c>
      <c r="AT123" s="2" t="s">
        <v>2750</v>
      </c>
      <c r="BD123" s="2" t="s">
        <v>2766</v>
      </c>
      <c r="BN123" s="2" t="s">
        <v>2989</v>
      </c>
      <c r="BX123" s="2" t="s">
        <v>2989</v>
      </c>
    </row>
    <row r="124" spans="2:76" x14ac:dyDescent="0.2">
      <c r="B124" s="1" t="s">
        <v>1561</v>
      </c>
      <c r="M124" s="2" t="s">
        <v>2068</v>
      </c>
      <c r="X124" s="1" t="s">
        <v>890</v>
      </c>
      <c r="AJ124" s="1" t="s">
        <v>897</v>
      </c>
      <c r="AT124" s="1" t="s">
        <v>890</v>
      </c>
      <c r="BD124" s="1" t="s">
        <v>890</v>
      </c>
      <c r="BN124" s="1" t="s">
        <v>890</v>
      </c>
      <c r="BX124" s="1" t="s">
        <v>890</v>
      </c>
    </row>
    <row r="125" spans="2:76" x14ac:dyDescent="0.2">
      <c r="B125" s="1"/>
      <c r="M125" s="1" t="s">
        <v>2069</v>
      </c>
      <c r="X125" s="1" t="s">
        <v>2286</v>
      </c>
      <c r="AJ125" s="1" t="s">
        <v>2628</v>
      </c>
      <c r="AT125" s="1" t="s">
        <v>2286</v>
      </c>
      <c r="BD125" s="1" t="s">
        <v>897</v>
      </c>
      <c r="BN125" s="1" t="s">
        <v>2286</v>
      </c>
      <c r="BX125" s="1" t="s">
        <v>897</v>
      </c>
    </row>
    <row r="126" spans="2:76" x14ac:dyDescent="0.2">
      <c r="B126" s="1"/>
      <c r="M126" s="1" t="s">
        <v>2016</v>
      </c>
      <c r="X126" s="1" t="s">
        <v>928</v>
      </c>
      <c r="AJ126" s="1" t="s">
        <v>891</v>
      </c>
      <c r="AT126" s="1" t="s">
        <v>928</v>
      </c>
      <c r="BD126" s="1" t="s">
        <v>2628</v>
      </c>
      <c r="BN126" s="1" t="s">
        <v>928</v>
      </c>
      <c r="BX126" s="1" t="s">
        <v>2628</v>
      </c>
    </row>
    <row r="127" spans="2:76" x14ac:dyDescent="0.2">
      <c r="B127" s="1"/>
      <c r="M127" s="1" t="s">
        <v>2018</v>
      </c>
      <c r="X127" s="1" t="s">
        <v>893</v>
      </c>
      <c r="AJ127" s="1" t="s">
        <v>928</v>
      </c>
      <c r="AT127" s="1" t="s">
        <v>893</v>
      </c>
      <c r="BD127" s="1" t="s">
        <v>891</v>
      </c>
      <c r="BN127" s="1" t="s">
        <v>893</v>
      </c>
      <c r="BX127" s="1" t="s">
        <v>891</v>
      </c>
    </row>
    <row r="128" spans="2:76" x14ac:dyDescent="0.2">
      <c r="B128" s="1"/>
      <c r="M128" s="1" t="s">
        <v>2020</v>
      </c>
      <c r="X128" s="1" t="s">
        <v>894</v>
      </c>
      <c r="AJ128" s="1" t="s">
        <v>892</v>
      </c>
      <c r="AT128" s="1" t="s">
        <v>894</v>
      </c>
      <c r="BD128" s="1" t="s">
        <v>928</v>
      </c>
      <c r="BN128" s="1" t="s">
        <v>894</v>
      </c>
      <c r="BX128" s="1" t="s">
        <v>928</v>
      </c>
    </row>
    <row r="129" spans="2:76" x14ac:dyDescent="0.2">
      <c r="B129" s="1"/>
      <c r="M129" s="1" t="s">
        <v>2017</v>
      </c>
      <c r="X129" s="1" t="s">
        <v>895</v>
      </c>
      <c r="AJ129" s="1" t="s">
        <v>893</v>
      </c>
      <c r="AT129" s="1" t="s">
        <v>895</v>
      </c>
      <c r="BD129" s="1" t="s">
        <v>892</v>
      </c>
      <c r="BN129" s="1" t="s">
        <v>895</v>
      </c>
      <c r="BX129" s="1" t="s">
        <v>892</v>
      </c>
    </row>
    <row r="130" spans="2:76" x14ac:dyDescent="0.2">
      <c r="B130" s="1"/>
      <c r="M130" s="1" t="s">
        <v>2019</v>
      </c>
      <c r="X130" s="1" t="s">
        <v>896</v>
      </c>
      <c r="AJ130" s="1" t="s">
        <v>894</v>
      </c>
      <c r="AT130" s="1" t="s">
        <v>896</v>
      </c>
      <c r="BD130" s="1" t="s">
        <v>893</v>
      </c>
      <c r="BN130" s="1" t="s">
        <v>896</v>
      </c>
      <c r="BX130" s="1" t="s">
        <v>893</v>
      </c>
    </row>
    <row r="131" spans="2:76" x14ac:dyDescent="0.2">
      <c r="B131" s="1"/>
      <c r="M131" s="1" t="s">
        <v>2070</v>
      </c>
      <c r="X131" s="1" t="s">
        <v>929</v>
      </c>
      <c r="AJ131" s="1" t="s">
        <v>895</v>
      </c>
      <c r="AT131" s="1" t="s">
        <v>929</v>
      </c>
      <c r="BD131" s="1" t="s">
        <v>894</v>
      </c>
      <c r="BN131" s="1" t="s">
        <v>929</v>
      </c>
      <c r="BX131" s="1" t="s">
        <v>894</v>
      </c>
    </row>
    <row r="132" spans="2:76" x14ac:dyDescent="0.2">
      <c r="B132" s="1"/>
      <c r="M132" s="1" t="s">
        <v>2071</v>
      </c>
      <c r="X132" s="1" t="s">
        <v>2287</v>
      </c>
      <c r="AJ132" s="1" t="s">
        <v>896</v>
      </c>
      <c r="AT132" s="1" t="s">
        <v>2287</v>
      </c>
      <c r="BD132" s="1" t="s">
        <v>895</v>
      </c>
      <c r="BN132" s="1" t="s">
        <v>2287</v>
      </c>
      <c r="BX132" s="1" t="s">
        <v>895</v>
      </c>
    </row>
    <row r="133" spans="2:76" x14ac:dyDescent="0.2">
      <c r="B133" s="1"/>
      <c r="M133" s="1" t="s">
        <v>2072</v>
      </c>
      <c r="X133" s="1" t="s">
        <v>930</v>
      </c>
      <c r="AT133" s="1" t="s">
        <v>930</v>
      </c>
      <c r="BD133" s="1" t="s">
        <v>896</v>
      </c>
      <c r="BN133" s="1" t="s">
        <v>930</v>
      </c>
      <c r="BX133" s="1" t="s">
        <v>896</v>
      </c>
    </row>
    <row r="134" spans="2:76" x14ac:dyDescent="0.2">
      <c r="B134" s="1"/>
      <c r="M134" s="1" t="s">
        <v>2073</v>
      </c>
      <c r="AJ134" s="2" t="s">
        <v>2618</v>
      </c>
    </row>
    <row r="135" spans="2:76" x14ac:dyDescent="0.2">
      <c r="B135" s="1"/>
      <c r="M135" s="1" t="s">
        <v>1561</v>
      </c>
      <c r="X135" s="2" t="s">
        <v>2618</v>
      </c>
      <c r="AT135" s="2" t="s">
        <v>2751</v>
      </c>
      <c r="BD135" s="2" t="s">
        <v>2767</v>
      </c>
      <c r="BN135" s="2" t="s">
        <v>2990</v>
      </c>
      <c r="BX135" s="2" t="s">
        <v>2990</v>
      </c>
    </row>
    <row r="136" spans="2:76" x14ac:dyDescent="0.2">
      <c r="M136" s="2"/>
      <c r="AT136" s="1" t="s">
        <v>901</v>
      </c>
      <c r="BD136" s="1" t="s">
        <v>901</v>
      </c>
      <c r="BN136" s="1" t="s">
        <v>901</v>
      </c>
      <c r="BX136" s="1" t="s">
        <v>901</v>
      </c>
    </row>
    <row r="137" spans="2:76" x14ac:dyDescent="0.2">
      <c r="M137" s="1"/>
      <c r="AT137" s="1" t="s">
        <v>898</v>
      </c>
      <c r="BD137" s="1" t="s">
        <v>899</v>
      </c>
      <c r="BN137" s="1" t="s">
        <v>899</v>
      </c>
      <c r="BX137" s="1" t="s">
        <v>899</v>
      </c>
    </row>
    <row r="138" spans="2:76" x14ac:dyDescent="0.2">
      <c r="M138" s="1"/>
      <c r="AT138" s="1" t="s">
        <v>899</v>
      </c>
      <c r="BD138" s="1" t="s">
        <v>902</v>
      </c>
      <c r="BN138" s="1" t="s">
        <v>898</v>
      </c>
      <c r="BX138" s="1" t="s">
        <v>902</v>
      </c>
    </row>
    <row r="139" spans="2:76" x14ac:dyDescent="0.2">
      <c r="M139" s="1"/>
      <c r="AT139" s="1" t="s">
        <v>931</v>
      </c>
      <c r="BD139" s="1" t="s">
        <v>898</v>
      </c>
      <c r="BN139" s="1" t="s">
        <v>2753</v>
      </c>
      <c r="BX139" s="1" t="s">
        <v>898</v>
      </c>
    </row>
    <row r="140" spans="2:76" x14ac:dyDescent="0.2">
      <c r="M140" s="1"/>
      <c r="AT140" s="1" t="s">
        <v>2110</v>
      </c>
      <c r="BD140" s="1" t="s">
        <v>900</v>
      </c>
      <c r="BN140" s="1" t="s">
        <v>2289</v>
      </c>
      <c r="BX140" s="1" t="s">
        <v>900</v>
      </c>
    </row>
    <row r="141" spans="2:76" x14ac:dyDescent="0.2">
      <c r="M141" s="1"/>
      <c r="AT141" s="1" t="s">
        <v>2290</v>
      </c>
      <c r="BD141" s="1" t="s">
        <v>2291</v>
      </c>
      <c r="BN141" s="1" t="s">
        <v>2991</v>
      </c>
      <c r="BX141" s="1" t="s">
        <v>2291</v>
      </c>
    </row>
    <row r="142" spans="2:76" x14ac:dyDescent="0.2">
      <c r="M142" s="1"/>
      <c r="AT142" s="1" t="s">
        <v>2752</v>
      </c>
      <c r="BD142" s="1" t="s">
        <v>2111</v>
      </c>
      <c r="BN142" s="1" t="s">
        <v>2288</v>
      </c>
      <c r="BX142" s="1" t="s">
        <v>2111</v>
      </c>
    </row>
    <row r="143" spans="2:76" x14ac:dyDescent="0.2">
      <c r="M143" s="1"/>
      <c r="AT143" s="1" t="s">
        <v>2753</v>
      </c>
      <c r="BD143" s="1" t="s">
        <v>2112</v>
      </c>
      <c r="BN143" s="1" t="s">
        <v>2992</v>
      </c>
      <c r="BX143" s="1" t="s">
        <v>2112</v>
      </c>
    </row>
    <row r="144" spans="2:76" x14ac:dyDescent="0.2">
      <c r="M144" s="1"/>
      <c r="AT144" s="1" t="s">
        <v>2113</v>
      </c>
      <c r="BD144" s="1" t="s">
        <v>2113</v>
      </c>
      <c r="BN144" s="1" t="s">
        <v>2993</v>
      </c>
      <c r="BX144" s="1" t="s">
        <v>2113</v>
      </c>
    </row>
    <row r="145" spans="13:76" x14ac:dyDescent="0.2">
      <c r="M145" s="1"/>
      <c r="AT145" s="1" t="s">
        <v>2754</v>
      </c>
      <c r="BD145" s="1" t="s">
        <v>2114</v>
      </c>
      <c r="BN145" s="1" t="s">
        <v>2994</v>
      </c>
      <c r="BX145" s="1" t="s">
        <v>2114</v>
      </c>
    </row>
    <row r="146" spans="13:76" x14ac:dyDescent="0.2">
      <c r="M146" s="1"/>
      <c r="AT146" s="1" t="s">
        <v>132</v>
      </c>
      <c r="BD146" s="1" t="s">
        <v>132</v>
      </c>
      <c r="BN146" s="1" t="s">
        <v>132</v>
      </c>
      <c r="BX146" s="1" t="s">
        <v>132</v>
      </c>
    </row>
    <row r="147" spans="13:76" x14ac:dyDescent="0.2">
      <c r="M147" s="1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6C14-7B01-E643-9D70-0B5BCBE03331}">
  <dimension ref="B1:CD148"/>
  <sheetViews>
    <sheetView topLeftCell="BU1" workbookViewId="0">
      <selection activeCell="CB22" sqref="CB16:CB22"/>
    </sheetView>
  </sheetViews>
  <sheetFormatPr baseColWidth="10" defaultRowHeight="16" x14ac:dyDescent="0.2"/>
  <cols>
    <col min="8" max="8" width="19.1640625" bestFit="1" customWidth="1"/>
    <col min="19" max="19" width="19.1640625" bestFit="1" customWidth="1"/>
  </cols>
  <sheetData>
    <row r="1" spans="2:82" x14ac:dyDescent="0.2">
      <c r="H1" t="s">
        <v>770</v>
      </c>
      <c r="I1">
        <v>0.03</v>
      </c>
      <c r="AQ1" s="20" t="s">
        <v>2648</v>
      </c>
      <c r="BK1" s="20" t="s">
        <v>2875</v>
      </c>
    </row>
    <row r="2" spans="2:82" x14ac:dyDescent="0.2">
      <c r="W2" s="1" t="s">
        <v>2629</v>
      </c>
      <c r="AG2" s="1" t="s">
        <v>2644</v>
      </c>
      <c r="AN2" t="s">
        <v>903</v>
      </c>
      <c r="AO2" t="s">
        <v>661</v>
      </c>
      <c r="AP2" t="s">
        <v>904</v>
      </c>
      <c r="AQ2" s="1" t="s">
        <v>2629</v>
      </c>
      <c r="AX2" t="s">
        <v>903</v>
      </c>
      <c r="AY2" t="s">
        <v>661</v>
      </c>
      <c r="AZ2" t="s">
        <v>904</v>
      </c>
      <c r="BA2" s="1" t="s">
        <v>2644</v>
      </c>
      <c r="BH2" t="s">
        <v>903</v>
      </c>
      <c r="BI2" t="s">
        <v>661</v>
      </c>
      <c r="BJ2" t="s">
        <v>904</v>
      </c>
      <c r="BK2" s="1" t="s">
        <v>2996</v>
      </c>
      <c r="BR2" t="s">
        <v>903</v>
      </c>
      <c r="BS2" t="s">
        <v>661</v>
      </c>
      <c r="BT2" t="s">
        <v>904</v>
      </c>
      <c r="BU2" s="1" t="s">
        <v>1052</v>
      </c>
      <c r="CB2" t="s">
        <v>903</v>
      </c>
      <c r="CC2" t="s">
        <v>661</v>
      </c>
      <c r="CD2" t="s">
        <v>904</v>
      </c>
    </row>
    <row r="3" spans="2:82" x14ac:dyDescent="0.2">
      <c r="B3" s="1" t="s">
        <v>932</v>
      </c>
      <c r="I3" t="s">
        <v>903</v>
      </c>
      <c r="J3" t="s">
        <v>661</v>
      </c>
      <c r="K3" t="s">
        <v>904</v>
      </c>
      <c r="M3" s="1" t="s">
        <v>1052</v>
      </c>
      <c r="T3" t="s">
        <v>903</v>
      </c>
      <c r="U3" t="s">
        <v>661</v>
      </c>
      <c r="V3" t="s">
        <v>904</v>
      </c>
      <c r="W3" s="2" t="s">
        <v>2630</v>
      </c>
      <c r="AD3" t="s">
        <v>903</v>
      </c>
      <c r="AE3" t="s">
        <v>661</v>
      </c>
      <c r="AF3" t="s">
        <v>904</v>
      </c>
      <c r="AG3" s="2" t="s">
        <v>2630</v>
      </c>
      <c r="AO3">
        <v>100</v>
      </c>
      <c r="AQ3" s="2" t="s">
        <v>2768</v>
      </c>
      <c r="AY3">
        <v>100</v>
      </c>
      <c r="BA3" s="2" t="s">
        <v>2768</v>
      </c>
      <c r="BI3">
        <v>100</v>
      </c>
      <c r="BK3" s="2" t="s">
        <v>2997</v>
      </c>
      <c r="BS3">
        <v>100</v>
      </c>
      <c r="BU3" s="2" t="s">
        <v>2997</v>
      </c>
      <c r="CC3">
        <v>100</v>
      </c>
    </row>
    <row r="4" spans="2:82" x14ac:dyDescent="0.2">
      <c r="B4" s="1" t="s">
        <v>933</v>
      </c>
      <c r="J4">
        <v>100</v>
      </c>
      <c r="U4">
        <v>100</v>
      </c>
      <c r="W4" s="1" t="s">
        <v>1055</v>
      </c>
      <c r="AE4">
        <v>100</v>
      </c>
      <c r="AG4" s="1" t="s">
        <v>937</v>
      </c>
      <c r="AN4" s="5">
        <v>-2.4E-2</v>
      </c>
      <c r="AO4">
        <f>(1+AN4)*AO3</f>
        <v>97.6</v>
      </c>
      <c r="AP4" s="5">
        <f>AN4</f>
        <v>-2.4E-2</v>
      </c>
      <c r="AQ4" s="1" t="s">
        <v>935</v>
      </c>
      <c r="AX4" s="5">
        <v>-3.1899999999999998E-2</v>
      </c>
      <c r="AY4">
        <f>(1+AX4)*AY3</f>
        <v>96.81</v>
      </c>
      <c r="AZ4" s="5">
        <f>AX4</f>
        <v>-3.1899999999999998E-2</v>
      </c>
      <c r="BA4" s="1" t="s">
        <v>937</v>
      </c>
      <c r="BH4" s="5">
        <v>-2.4E-2</v>
      </c>
      <c r="BI4">
        <f>(1+BH4)*BI3</f>
        <v>97.6</v>
      </c>
      <c r="BJ4" s="5">
        <f>BH4</f>
        <v>-2.4E-2</v>
      </c>
      <c r="BK4" s="1" t="s">
        <v>2292</v>
      </c>
      <c r="BR4" s="5">
        <v>-3.3000000000000002E-2</v>
      </c>
      <c r="BS4">
        <f>(1+BR4)*BS3</f>
        <v>96.7</v>
      </c>
      <c r="BT4" s="5">
        <f>BR4</f>
        <v>-3.3000000000000002E-2</v>
      </c>
      <c r="BU4" s="1" t="s">
        <v>937</v>
      </c>
      <c r="CB4" s="5">
        <v>-2.4E-2</v>
      </c>
      <c r="CC4">
        <f>(1+CB4)*CC3</f>
        <v>97.6</v>
      </c>
      <c r="CD4" s="5">
        <f>CB4</f>
        <v>-2.4E-2</v>
      </c>
    </row>
    <row r="5" spans="2:82" x14ac:dyDescent="0.2">
      <c r="B5" s="1" t="s">
        <v>934</v>
      </c>
      <c r="I5" s="19">
        <v>-1.5299999999999999E-2</v>
      </c>
      <c r="J5">
        <f>(1+I5)*J4</f>
        <v>98.47</v>
      </c>
      <c r="K5" s="5">
        <f>I5</f>
        <v>-1.5299999999999999E-2</v>
      </c>
      <c r="M5" s="2" t="s">
        <v>1053</v>
      </c>
      <c r="T5" s="5">
        <v>-1.1999999999999999E-3</v>
      </c>
      <c r="U5">
        <f>(1+T5)*U4</f>
        <v>99.88</v>
      </c>
      <c r="V5" s="5">
        <f>T5</f>
        <v>-1.1999999999999999E-3</v>
      </c>
      <c r="W5" s="1" t="s">
        <v>934</v>
      </c>
      <c r="AD5" s="5">
        <v>-3.2099999999999997E-2</v>
      </c>
      <c r="AE5">
        <f>(1+AD5)*AE4</f>
        <v>96.789999999999992</v>
      </c>
      <c r="AF5" s="5">
        <f>AD5</f>
        <v>-3.2099999999999997E-2</v>
      </c>
      <c r="AG5" s="1" t="s">
        <v>940</v>
      </c>
      <c r="AN5" s="5">
        <v>6.3E-3</v>
      </c>
      <c r="AO5">
        <f t="shared" ref="AO5:AO15" si="0">(1+AN5)*AO4</f>
        <v>98.214879999999994</v>
      </c>
      <c r="AP5" s="5">
        <f>AN7</f>
        <v>-5.4699999999999999E-2</v>
      </c>
      <c r="AQ5" s="1" t="s">
        <v>2769</v>
      </c>
      <c r="AX5" s="5">
        <v>1.4200000000000001E-2</v>
      </c>
      <c r="AY5">
        <f t="shared" ref="AY5:AY15" si="1">(1+AX5)*AY4</f>
        <v>98.184702000000001</v>
      </c>
      <c r="AZ5" s="5">
        <f>AX7</f>
        <v>-7.4999999999999997E-2</v>
      </c>
      <c r="BA5" s="1" t="s">
        <v>940</v>
      </c>
      <c r="BH5" s="5">
        <v>6.3E-3</v>
      </c>
      <c r="BI5">
        <f t="shared" ref="BI5:BI15" si="2">(1+BH5)*BI4</f>
        <v>98.214879999999994</v>
      </c>
      <c r="BJ5" s="5">
        <f>BH7</f>
        <v>-5.4699999999999999E-2</v>
      </c>
      <c r="BK5" s="1" t="s">
        <v>934</v>
      </c>
      <c r="BR5" s="5">
        <v>2.0199999999999999E-2</v>
      </c>
      <c r="BS5">
        <f t="shared" ref="BS5:BS15" si="3">(1+BR5)*BS4</f>
        <v>98.65334</v>
      </c>
      <c r="BT5" s="5">
        <f>BR7</f>
        <v>-7.6300000000000007E-2</v>
      </c>
      <c r="BU5" s="1" t="s">
        <v>940</v>
      </c>
      <c r="CB5" s="5">
        <v>6.3E-3</v>
      </c>
      <c r="CC5">
        <f t="shared" ref="CC5:CC15" si="4">(1+CB5)*CC4</f>
        <v>98.214879999999994</v>
      </c>
      <c r="CD5" s="5">
        <f>CB7</f>
        <v>-5.4699999999999999E-2</v>
      </c>
    </row>
    <row r="6" spans="2:82" x14ac:dyDescent="0.2">
      <c r="B6" s="1" t="s">
        <v>935</v>
      </c>
      <c r="I6" s="19">
        <v>8.8999999999999999E-3</v>
      </c>
      <c r="J6">
        <f t="shared" ref="J6:J16" si="5">(1+I6)*J5</f>
        <v>99.346382999999989</v>
      </c>
      <c r="K6" s="5">
        <f>I8</f>
        <v>-6.5500000000000003E-2</v>
      </c>
      <c r="M6" s="1" t="s">
        <v>934</v>
      </c>
      <c r="T6" s="5">
        <v>2.7400000000000001E-2</v>
      </c>
      <c r="U6">
        <f t="shared" ref="U6:U16" si="6">(1+T6)*U5</f>
        <v>102.61671200000001</v>
      </c>
      <c r="V6" s="5">
        <f>T8</f>
        <v>-7.3899999999999993E-2</v>
      </c>
      <c r="W6" s="1" t="s">
        <v>935</v>
      </c>
      <c r="AD6" s="5">
        <v>1.4200000000000001E-2</v>
      </c>
      <c r="AE6">
        <f t="shared" ref="AE6:AE16" si="7">(1+AD6)*AE5</f>
        <v>98.164417999999998</v>
      </c>
      <c r="AF6" s="5">
        <f>AD8</f>
        <v>-6.9099999999999995E-2</v>
      </c>
      <c r="AG6" s="1" t="s">
        <v>935</v>
      </c>
      <c r="AN6" s="5">
        <v>3.1899999999999998E-2</v>
      </c>
      <c r="AO6">
        <f t="shared" si="0"/>
        <v>101.34793467199999</v>
      </c>
      <c r="AP6" s="5">
        <f>AN8</f>
        <v>-1.06E-2</v>
      </c>
      <c r="AQ6" s="1" t="s">
        <v>939</v>
      </c>
      <c r="AX6" s="5">
        <v>2.35E-2</v>
      </c>
      <c r="AY6">
        <f t="shared" si="1"/>
        <v>100.49204249700001</v>
      </c>
      <c r="AZ6" s="5">
        <f>AX8</f>
        <v>8.3999999999999995E-3</v>
      </c>
      <c r="BA6" s="1" t="s">
        <v>935</v>
      </c>
      <c r="BH6" s="5">
        <v>3.1899999999999998E-2</v>
      </c>
      <c r="BI6">
        <f t="shared" si="2"/>
        <v>101.34793467199999</v>
      </c>
      <c r="BJ6" s="5">
        <f>BH8</f>
        <v>-1.0999999999999999E-2</v>
      </c>
      <c r="BK6" s="1" t="s">
        <v>2631</v>
      </c>
      <c r="BR6" s="5">
        <v>2.35E-2</v>
      </c>
      <c r="BS6">
        <f t="shared" si="3"/>
        <v>100.97169349000001</v>
      </c>
      <c r="BT6" s="5"/>
      <c r="BU6" s="1" t="s">
        <v>935</v>
      </c>
      <c r="CB6" s="5">
        <v>3.1899999999999998E-2</v>
      </c>
      <c r="CC6">
        <f t="shared" si="4"/>
        <v>101.34793467199999</v>
      </c>
      <c r="CD6" s="5">
        <f>CB8</f>
        <v>-1.06E-2</v>
      </c>
    </row>
    <row r="7" spans="2:82" x14ac:dyDescent="0.2">
      <c r="B7" s="1" t="s">
        <v>936</v>
      </c>
      <c r="I7" s="19">
        <v>4.2200000000000001E-2</v>
      </c>
      <c r="J7">
        <f t="shared" si="5"/>
        <v>103.53880036259999</v>
      </c>
      <c r="K7" s="5">
        <f>I10</f>
        <v>-3.8699999999999998E-2</v>
      </c>
      <c r="M7" s="1" t="s">
        <v>1054</v>
      </c>
      <c r="T7" s="5">
        <v>2.2499999999999999E-2</v>
      </c>
      <c r="U7">
        <f t="shared" si="6"/>
        <v>104.92558802000001</v>
      </c>
      <c r="V7" s="5">
        <f>T9</f>
        <v>-1.6000000000000001E-3</v>
      </c>
      <c r="W7" s="1" t="s">
        <v>939</v>
      </c>
      <c r="AD7" s="5">
        <v>2.35E-2</v>
      </c>
      <c r="AE7">
        <f t="shared" si="7"/>
        <v>100.471281823</v>
      </c>
      <c r="AF7" s="5">
        <f>AD10</f>
        <v>-5.8999999999999999E-3</v>
      </c>
      <c r="AG7" s="1" t="s">
        <v>933</v>
      </c>
      <c r="AN7" s="5">
        <v>-5.4699999999999999E-2</v>
      </c>
      <c r="AO7">
        <f t="shared" si="0"/>
        <v>95.804202645441592</v>
      </c>
      <c r="AP7" s="5">
        <f>AN9</f>
        <v>-4.4999999999999998E-2</v>
      </c>
      <c r="AQ7" s="1" t="s">
        <v>2631</v>
      </c>
      <c r="AX7" s="5">
        <v>-7.4999999999999997E-2</v>
      </c>
      <c r="AY7">
        <f t="shared" si="1"/>
        <v>92.955139309725013</v>
      </c>
      <c r="AZ7" s="5">
        <f>AX9</f>
        <v>-3.1300000000000001E-2</v>
      </c>
      <c r="BA7" s="1" t="s">
        <v>933</v>
      </c>
      <c r="BH7" s="5">
        <v>-5.4699999999999999E-2</v>
      </c>
      <c r="BI7">
        <f t="shared" si="2"/>
        <v>95.804202645441592</v>
      </c>
      <c r="BJ7" s="5">
        <f>BH9</f>
        <v>-4.4999999999999998E-2</v>
      </c>
      <c r="BK7" s="1" t="s">
        <v>940</v>
      </c>
      <c r="BR7" s="5">
        <v>-7.6300000000000007E-2</v>
      </c>
      <c r="BS7">
        <f t="shared" si="3"/>
        <v>93.267553276713002</v>
      </c>
      <c r="BT7" s="5">
        <f>BR9</f>
        <v>-1.61E-2</v>
      </c>
      <c r="BU7" s="1" t="s">
        <v>933</v>
      </c>
      <c r="CB7" s="5">
        <v>-5.4699999999999999E-2</v>
      </c>
      <c r="CC7">
        <f t="shared" si="4"/>
        <v>95.804202645441592</v>
      </c>
      <c r="CD7" s="5">
        <f>CB9</f>
        <v>-4.0800000000000003E-2</v>
      </c>
    </row>
    <row r="8" spans="2:82" x14ac:dyDescent="0.2">
      <c r="B8" s="1" t="s">
        <v>937</v>
      </c>
      <c r="I8" s="19">
        <v>-6.5500000000000003E-2</v>
      </c>
      <c r="J8">
        <f t="shared" si="5"/>
        <v>96.75700893884968</v>
      </c>
      <c r="K8" s="5">
        <f>I11</f>
        <v>-5.9499999999999997E-2</v>
      </c>
      <c r="M8" s="1" t="s">
        <v>937</v>
      </c>
      <c r="T8" s="5">
        <v>-7.3899999999999993E-2</v>
      </c>
      <c r="U8">
        <f t="shared" si="6"/>
        <v>97.171587065322015</v>
      </c>
      <c r="V8" s="5">
        <f>T10</f>
        <v>-2.7199999999999998E-2</v>
      </c>
      <c r="W8" s="1" t="s">
        <v>938</v>
      </c>
      <c r="AD8" s="5">
        <v>-6.9099999999999995E-2</v>
      </c>
      <c r="AE8">
        <f t="shared" si="7"/>
        <v>93.528716249030708</v>
      </c>
      <c r="AF8" s="5">
        <f>AD11</f>
        <v>-9.5999999999999992E-3</v>
      </c>
      <c r="AG8" s="1" t="s">
        <v>934</v>
      </c>
      <c r="AN8" s="5">
        <v>-1.06E-2</v>
      </c>
      <c r="AO8">
        <f t="shared" si="0"/>
        <v>94.788678097399909</v>
      </c>
      <c r="AP8" s="5">
        <f>AN10</f>
        <v>-5.4800000000000001E-2</v>
      </c>
      <c r="AQ8" s="1" t="s">
        <v>937</v>
      </c>
      <c r="AX8" s="5">
        <v>8.3999999999999995E-3</v>
      </c>
      <c r="AY8">
        <f t="shared" si="1"/>
        <v>93.735962479926698</v>
      </c>
      <c r="AZ8" s="5">
        <f>AX10</f>
        <v>-6.6600000000000006E-2</v>
      </c>
      <c r="BA8" s="1" t="s">
        <v>934</v>
      </c>
      <c r="BH8" s="5">
        <v>-1.0999999999999999E-2</v>
      </c>
      <c r="BI8">
        <f t="shared" si="2"/>
        <v>94.750356416341731</v>
      </c>
      <c r="BJ8" s="5">
        <f>BH10</f>
        <v>-5.4800000000000001E-2</v>
      </c>
      <c r="BK8" s="1" t="s">
        <v>935</v>
      </c>
      <c r="BR8" s="5">
        <v>1.15E-2</v>
      </c>
      <c r="BS8">
        <f t="shared" si="3"/>
        <v>94.340130139395214</v>
      </c>
      <c r="BT8" s="5">
        <f>BR10</f>
        <v>-9.5999999999999992E-3</v>
      </c>
      <c r="BU8" s="1" t="s">
        <v>934</v>
      </c>
      <c r="CB8" s="5">
        <v>-1.06E-2</v>
      </c>
      <c r="CC8">
        <f t="shared" si="4"/>
        <v>94.788678097399909</v>
      </c>
      <c r="CD8" s="5">
        <f>CB10</f>
        <v>-5.4800000000000001E-2</v>
      </c>
    </row>
    <row r="9" spans="2:82" x14ac:dyDescent="0.2">
      <c r="B9" s="1" t="s">
        <v>938</v>
      </c>
      <c r="I9" s="19">
        <v>-1.06E-2</v>
      </c>
      <c r="J9">
        <f t="shared" si="5"/>
        <v>95.731384644097872</v>
      </c>
      <c r="K9" s="5">
        <f>I16</f>
        <v>8.3999999999999995E-3</v>
      </c>
      <c r="M9" s="1" t="s">
        <v>940</v>
      </c>
      <c r="T9" s="5">
        <v>-1.6000000000000001E-3</v>
      </c>
      <c r="U9">
        <f t="shared" si="6"/>
        <v>97.016112526017494</v>
      </c>
      <c r="V9" s="5">
        <f>T11</f>
        <v>-6.2899999999999998E-2</v>
      </c>
      <c r="W9" s="1" t="s">
        <v>2292</v>
      </c>
      <c r="AD9" s="5">
        <v>2.4400000000000002E-2</v>
      </c>
      <c r="AE9">
        <f t="shared" si="7"/>
        <v>95.810816925507055</v>
      </c>
      <c r="AF9" s="5">
        <f>AD12</f>
        <v>-3.4099999999999998E-2</v>
      </c>
      <c r="AG9" s="1" t="s">
        <v>939</v>
      </c>
      <c r="AN9" s="5">
        <v>-4.4999999999999998E-2</v>
      </c>
      <c r="AO9">
        <f t="shared" si="0"/>
        <v>90.523187583016906</v>
      </c>
      <c r="AP9" s="5">
        <f>AN11</f>
        <v>-2.47E-2</v>
      </c>
      <c r="AQ9" s="1" t="s">
        <v>2770</v>
      </c>
      <c r="AX9" s="5">
        <v>-3.1300000000000001E-2</v>
      </c>
      <c r="AY9">
        <f t="shared" si="1"/>
        <v>90.802026854304998</v>
      </c>
      <c r="AZ9" s="5">
        <f>AX11</f>
        <v>-3.4099999999999998E-2</v>
      </c>
      <c r="BA9" s="1" t="s">
        <v>939</v>
      </c>
      <c r="BH9" s="5">
        <v>-4.4999999999999998E-2</v>
      </c>
      <c r="BI9">
        <f t="shared" si="2"/>
        <v>90.486590377606348</v>
      </c>
      <c r="BJ9" s="5">
        <f>BH11</f>
        <v>-2.47E-2</v>
      </c>
      <c r="BK9" s="1" t="s">
        <v>939</v>
      </c>
      <c r="BR9" s="5">
        <v>-1.61E-2</v>
      </c>
      <c r="BS9">
        <f t="shared" si="3"/>
        <v>92.821254044150947</v>
      </c>
      <c r="BT9" s="5">
        <f>BR11</f>
        <v>-3.4099999999999998E-2</v>
      </c>
      <c r="BU9" s="1" t="s">
        <v>939</v>
      </c>
      <c r="CB9" s="5">
        <v>-4.0800000000000003E-2</v>
      </c>
      <c r="CC9">
        <f t="shared" si="4"/>
        <v>90.921300031025993</v>
      </c>
      <c r="CD9" s="5">
        <f>CB11</f>
        <v>-2.47E-2</v>
      </c>
    </row>
    <row r="10" spans="2:82" x14ac:dyDescent="0.2">
      <c r="B10" s="1" t="s">
        <v>2074</v>
      </c>
      <c r="I10" s="19">
        <v>-3.8699999999999998E-2</v>
      </c>
      <c r="J10">
        <f t="shared" si="5"/>
        <v>92.026580058371295</v>
      </c>
      <c r="M10" s="1" t="s">
        <v>935</v>
      </c>
      <c r="T10" s="5">
        <v>-2.7199999999999998E-2</v>
      </c>
      <c r="U10">
        <f t="shared" si="6"/>
        <v>94.377274265309822</v>
      </c>
      <c r="V10" s="5">
        <f>T12</f>
        <v>-3.4799999999999998E-2</v>
      </c>
      <c r="W10" s="1" t="s">
        <v>937</v>
      </c>
      <c r="AD10" s="5">
        <v>-5.8999999999999999E-3</v>
      </c>
      <c r="AE10">
        <f t="shared" si="7"/>
        <v>95.245533105646558</v>
      </c>
      <c r="AF10" s="5">
        <f>AD16</f>
        <v>-1.77E-2</v>
      </c>
      <c r="AG10" s="1" t="s">
        <v>2292</v>
      </c>
      <c r="AN10" s="5">
        <v>-5.4800000000000001E-2</v>
      </c>
      <c r="AO10">
        <f t="shared" si="0"/>
        <v>85.562516903467582</v>
      </c>
      <c r="AQ10" s="1" t="s">
        <v>938</v>
      </c>
      <c r="AX10" s="5">
        <v>-6.6600000000000006E-2</v>
      </c>
      <c r="AY10">
        <f t="shared" si="1"/>
        <v>84.754611865808286</v>
      </c>
      <c r="BA10" s="1" t="s">
        <v>2292</v>
      </c>
      <c r="BH10" s="5">
        <v>-5.4800000000000001E-2</v>
      </c>
      <c r="BI10">
        <f t="shared" si="2"/>
        <v>85.527925224913517</v>
      </c>
      <c r="BK10" s="1" t="s">
        <v>938</v>
      </c>
      <c r="BR10" s="5">
        <v>-9.5999999999999992E-3</v>
      </c>
      <c r="BS10">
        <f t="shared" si="3"/>
        <v>91.930170005327099</v>
      </c>
      <c r="BU10" s="1" t="s">
        <v>2292</v>
      </c>
      <c r="CB10" s="5">
        <v>-5.4800000000000001E-2</v>
      </c>
      <c r="CC10">
        <f t="shared" si="4"/>
        <v>85.938812789325766</v>
      </c>
    </row>
    <row r="11" spans="2:82" x14ac:dyDescent="0.2">
      <c r="B11" s="1" t="s">
        <v>939</v>
      </c>
      <c r="I11" s="19">
        <v>-5.9499999999999997E-2</v>
      </c>
      <c r="J11">
        <f t="shared" si="5"/>
        <v>86.550998544898206</v>
      </c>
      <c r="M11" s="1" t="s">
        <v>939</v>
      </c>
      <c r="T11" s="5">
        <v>-6.2899999999999998E-2</v>
      </c>
      <c r="U11">
        <f t="shared" si="6"/>
        <v>88.440943714021842</v>
      </c>
      <c r="W11" s="1" t="s">
        <v>2631</v>
      </c>
      <c r="AD11" s="5">
        <v>-9.5999999999999992E-3</v>
      </c>
      <c r="AE11">
        <f t="shared" si="7"/>
        <v>94.331175987832353</v>
      </c>
      <c r="AG11" s="1" t="s">
        <v>938</v>
      </c>
      <c r="AN11" s="5">
        <v>-2.47E-2</v>
      </c>
      <c r="AO11">
        <f t="shared" si="0"/>
        <v>83.449122735951931</v>
      </c>
      <c r="AQ11" s="1" t="s">
        <v>1055</v>
      </c>
      <c r="AX11" s="5">
        <v>-3.4099999999999998E-2</v>
      </c>
      <c r="AY11">
        <f t="shared" si="1"/>
        <v>81.864479601184229</v>
      </c>
      <c r="BA11" s="1" t="s">
        <v>938</v>
      </c>
      <c r="BH11" s="5">
        <v>-2.47E-2</v>
      </c>
      <c r="BI11">
        <f t="shared" si="2"/>
        <v>83.415385471858158</v>
      </c>
      <c r="BK11" s="1" t="s">
        <v>1055</v>
      </c>
      <c r="BR11" s="5">
        <v>-3.4099999999999998E-2</v>
      </c>
      <c r="BS11">
        <f t="shared" si="3"/>
        <v>88.795351208145448</v>
      </c>
      <c r="BU11" s="1" t="s">
        <v>938</v>
      </c>
      <c r="CB11" s="5">
        <v>-2.47E-2</v>
      </c>
      <c r="CC11">
        <f t="shared" si="4"/>
        <v>83.816124113429424</v>
      </c>
    </row>
    <row r="12" spans="2:82" x14ac:dyDescent="0.2">
      <c r="B12" s="1" t="s">
        <v>940</v>
      </c>
      <c r="I12" s="19">
        <v>-3.1099999999999999E-2</v>
      </c>
      <c r="J12">
        <f t="shared" si="5"/>
        <v>83.859262490151878</v>
      </c>
      <c r="M12" s="1" t="s">
        <v>936</v>
      </c>
      <c r="T12" s="5">
        <v>-3.4799999999999998E-2</v>
      </c>
      <c r="U12">
        <f t="shared" si="6"/>
        <v>85.363198872773893</v>
      </c>
      <c r="W12" s="1" t="s">
        <v>940</v>
      </c>
      <c r="AD12" s="5">
        <v>-3.4099999999999998E-2</v>
      </c>
      <c r="AE12">
        <f t="shared" si="7"/>
        <v>91.114482886647266</v>
      </c>
      <c r="AG12" s="1" t="s">
        <v>2645</v>
      </c>
      <c r="AN12" s="5">
        <v>3.4000000000000002E-2</v>
      </c>
      <c r="AO12">
        <f t="shared" si="0"/>
        <v>86.286392908974307</v>
      </c>
      <c r="AQ12" s="1" t="s">
        <v>2771</v>
      </c>
      <c r="AX12" s="5">
        <v>2.4400000000000002E-2</v>
      </c>
      <c r="AY12">
        <f t="shared" si="1"/>
        <v>83.861972903453122</v>
      </c>
      <c r="BA12" s="1" t="s">
        <v>2645</v>
      </c>
      <c r="BH12" s="5">
        <v>3.4000000000000002E-2</v>
      </c>
      <c r="BI12">
        <f t="shared" si="2"/>
        <v>86.251508577901333</v>
      </c>
      <c r="BK12" s="1" t="s">
        <v>937</v>
      </c>
      <c r="BR12" s="5">
        <v>2.4400000000000002E-2</v>
      </c>
      <c r="BS12">
        <f t="shared" si="3"/>
        <v>90.961957777624193</v>
      </c>
      <c r="BU12" s="1" t="s">
        <v>2645</v>
      </c>
      <c r="CB12" s="5">
        <v>3.4000000000000002E-2</v>
      </c>
      <c r="CC12">
        <f t="shared" si="4"/>
        <v>86.665872333286032</v>
      </c>
    </row>
    <row r="13" spans="2:82" x14ac:dyDescent="0.2">
      <c r="B13" s="1" t="s">
        <v>941</v>
      </c>
      <c r="I13" s="19">
        <v>3.1800000000000002E-2</v>
      </c>
      <c r="J13">
        <f t="shared" si="5"/>
        <v>86.525987037338709</v>
      </c>
      <c r="M13" s="1" t="s">
        <v>2074</v>
      </c>
      <c r="T13" s="5">
        <v>4.0800000000000003E-2</v>
      </c>
      <c r="U13">
        <f t="shared" si="6"/>
        <v>88.84601738678306</v>
      </c>
      <c r="W13" s="1" t="s">
        <v>933</v>
      </c>
      <c r="AD13" s="5">
        <v>2.4400000000000002E-2</v>
      </c>
      <c r="AE13">
        <f t="shared" si="7"/>
        <v>93.337676269081456</v>
      </c>
      <c r="AG13" s="1" t="s">
        <v>2646</v>
      </c>
      <c r="AN13" s="5">
        <v>3.5299999999999998E-2</v>
      </c>
      <c r="AO13">
        <f t="shared" si="0"/>
        <v>89.332302578661086</v>
      </c>
      <c r="AQ13" s="1" t="s">
        <v>933</v>
      </c>
      <c r="AX13" s="5">
        <v>-5.4000000000000003E-3</v>
      </c>
      <c r="AY13">
        <f t="shared" si="1"/>
        <v>83.40911824977448</v>
      </c>
      <c r="BA13" s="1" t="s">
        <v>2646</v>
      </c>
      <c r="BH13" s="5">
        <v>3.5299999999999998E-2</v>
      </c>
      <c r="BI13">
        <f t="shared" si="2"/>
        <v>89.296186830701245</v>
      </c>
      <c r="BK13" s="1" t="s">
        <v>2770</v>
      </c>
      <c r="BR13" s="5">
        <v>1.5800000000000002E-2</v>
      </c>
      <c r="BS13">
        <f t="shared" si="3"/>
        <v>92.399156710510653</v>
      </c>
      <c r="BU13" s="1" t="s">
        <v>2646</v>
      </c>
      <c r="CB13" s="5">
        <v>3.5299999999999998E-2</v>
      </c>
      <c r="CC13">
        <f t="shared" si="4"/>
        <v>89.725177626651018</v>
      </c>
    </row>
    <row r="14" spans="2:82" x14ac:dyDescent="0.2">
      <c r="I14" s="19">
        <v>2.47E-2</v>
      </c>
      <c r="J14">
        <f t="shared" si="5"/>
        <v>88.663178917160977</v>
      </c>
      <c r="M14" s="1" t="s">
        <v>933</v>
      </c>
      <c r="T14" s="5">
        <v>3.1E-2</v>
      </c>
      <c r="U14">
        <f t="shared" si="6"/>
        <v>91.600243925773327</v>
      </c>
      <c r="AD14" s="5">
        <v>3.6299999999999999E-2</v>
      </c>
      <c r="AE14">
        <f t="shared" si="7"/>
        <v>96.725833917649112</v>
      </c>
      <c r="AN14" s="5">
        <v>7.9299999999999995E-2</v>
      </c>
      <c r="AO14">
        <f t="shared" si="0"/>
        <v>96.416354173148903</v>
      </c>
      <c r="AX14" s="5">
        <v>5.45E-2</v>
      </c>
      <c r="AY14">
        <f t="shared" si="1"/>
        <v>87.954915194387183</v>
      </c>
      <c r="BH14" s="5">
        <v>7.9299999999999995E-2</v>
      </c>
      <c r="BI14">
        <f t="shared" si="2"/>
        <v>96.377374446375853</v>
      </c>
      <c r="BR14" s="5">
        <v>5.45E-2</v>
      </c>
      <c r="BS14">
        <f t="shared" si="3"/>
        <v>97.434910751233488</v>
      </c>
      <c r="CB14" s="5">
        <v>7.9299999999999995E-2</v>
      </c>
      <c r="CC14">
        <f t="shared" si="4"/>
        <v>96.840384212444434</v>
      </c>
    </row>
    <row r="15" spans="2:82" x14ac:dyDescent="0.2">
      <c r="B15" s="1" t="s">
        <v>942</v>
      </c>
      <c r="I15" s="19">
        <v>7.9299999999999995E-2</v>
      </c>
      <c r="J15">
        <f t="shared" si="5"/>
        <v>95.69416900529184</v>
      </c>
      <c r="M15" s="1" t="s">
        <v>1055</v>
      </c>
      <c r="T15" s="5">
        <v>8.3299999999999999E-2</v>
      </c>
      <c r="U15">
        <f t="shared" si="6"/>
        <v>99.230544244790238</v>
      </c>
      <c r="W15" s="2" t="s">
        <v>2632</v>
      </c>
      <c r="AD15" s="5">
        <v>5.45E-2</v>
      </c>
      <c r="AE15">
        <f t="shared" si="7"/>
        <v>101.99739186616098</v>
      </c>
      <c r="AG15" s="2" t="s">
        <v>2632</v>
      </c>
      <c r="AN15" s="5">
        <v>6.7999999999999996E-3</v>
      </c>
      <c r="AO15">
        <f t="shared" si="0"/>
        <v>97.071985381526304</v>
      </c>
      <c r="AQ15" s="2" t="s">
        <v>2772</v>
      </c>
      <c r="AX15" s="5">
        <v>-2.0999999999999999E-3</v>
      </c>
      <c r="AY15">
        <f t="shared" si="1"/>
        <v>87.770209872478972</v>
      </c>
      <c r="BA15" s="2" t="s">
        <v>2772</v>
      </c>
      <c r="BH15" s="5">
        <v>6.7999999999999996E-3</v>
      </c>
      <c r="BI15">
        <f t="shared" si="2"/>
        <v>97.032740592611205</v>
      </c>
      <c r="BK15" s="2" t="s">
        <v>2998</v>
      </c>
      <c r="BR15" s="5">
        <v>8.6999999999999994E-3</v>
      </c>
      <c r="BS15">
        <f t="shared" si="3"/>
        <v>98.282594474769212</v>
      </c>
      <c r="BU15" s="2" t="s">
        <v>2998</v>
      </c>
      <c r="CB15" s="5">
        <v>6.7999999999999996E-3</v>
      </c>
      <c r="CC15">
        <f t="shared" si="4"/>
        <v>97.498898825089043</v>
      </c>
    </row>
    <row r="16" spans="2:82" x14ac:dyDescent="0.2">
      <c r="B16" s="1" t="s">
        <v>943</v>
      </c>
      <c r="I16" s="19">
        <v>8.3999999999999995E-3</v>
      </c>
      <c r="J16">
        <f t="shared" si="5"/>
        <v>96.498000024936289</v>
      </c>
      <c r="T16" s="5">
        <v>1.1999999999999999E-3</v>
      </c>
      <c r="U16">
        <f t="shared" si="6"/>
        <v>99.349620897883995</v>
      </c>
      <c r="W16" s="1" t="s">
        <v>944</v>
      </c>
      <c r="AD16" s="5">
        <v>-1.77E-2</v>
      </c>
      <c r="AE16">
        <f t="shared" si="7"/>
        <v>100.19203803012992</v>
      </c>
      <c r="AG16" s="1" t="s">
        <v>944</v>
      </c>
      <c r="AM16" s="8" t="s">
        <v>173</v>
      </c>
      <c r="AN16" s="5">
        <f>AO15/100 - 1</f>
        <v>-2.9280146184736955E-2</v>
      </c>
      <c r="AQ16" s="1" t="s">
        <v>944</v>
      </c>
      <c r="AW16" s="8" t="s">
        <v>173</v>
      </c>
      <c r="AX16" s="5">
        <f>AY15/100 - 1</f>
        <v>-0.12229790127521023</v>
      </c>
      <c r="BA16" s="1" t="s">
        <v>944</v>
      </c>
      <c r="BG16" s="8" t="s">
        <v>173</v>
      </c>
      <c r="BH16" s="5">
        <f>BI15/100 - 1</f>
        <v>-2.9672594073888003E-2</v>
      </c>
      <c r="BK16" s="1" t="s">
        <v>944</v>
      </c>
      <c r="BQ16" s="8" t="s">
        <v>173</v>
      </c>
      <c r="BR16" s="5">
        <f>BS15/100 - 1</f>
        <v>-1.7174055252307863E-2</v>
      </c>
      <c r="BU16" s="1" t="s">
        <v>944</v>
      </c>
      <c r="CA16" s="8" t="s">
        <v>173</v>
      </c>
      <c r="CB16" s="5">
        <f>CC15/100 - 1</f>
        <v>-2.501101174910958E-2</v>
      </c>
    </row>
    <row r="17" spans="2:80" x14ac:dyDescent="0.2">
      <c r="B17" s="1" t="s">
        <v>944</v>
      </c>
      <c r="H17" s="8" t="s">
        <v>173</v>
      </c>
      <c r="I17" s="5">
        <f>J16/100 - 1</f>
        <v>-3.5019999750637076E-2</v>
      </c>
      <c r="M17" s="2" t="s">
        <v>1056</v>
      </c>
      <c r="S17" s="8" t="s">
        <v>173</v>
      </c>
      <c r="T17" s="5">
        <f>U16/100 - 1</f>
        <v>-6.5037910211600547E-3</v>
      </c>
      <c r="W17" s="1" t="s">
        <v>943</v>
      </c>
      <c r="AC17" s="8" t="s">
        <v>173</v>
      </c>
      <c r="AD17" s="5">
        <f>AE16/100 - 1</f>
        <v>1.9203803012992626E-3</v>
      </c>
      <c r="AG17" s="1" t="s">
        <v>943</v>
      </c>
      <c r="AM17" s="9" t="s">
        <v>181</v>
      </c>
      <c r="AN17" s="5">
        <f>_xlfn.STDEV.S(AN4:AN15)*12^0.5</f>
        <v>0.14426754186705903</v>
      </c>
      <c r="AQ17" s="1" t="s">
        <v>942</v>
      </c>
      <c r="AW17" s="9" t="s">
        <v>181</v>
      </c>
      <c r="AX17" s="5">
        <f>_xlfn.STDEV.S(AX4:AX15)*12^0.5</f>
        <v>0.13382269137658503</v>
      </c>
      <c r="BA17" s="1" t="s">
        <v>943</v>
      </c>
      <c r="BG17" s="9" t="s">
        <v>181</v>
      </c>
      <c r="BH17" s="5">
        <f>_xlfn.STDEV.S(BH4:BH15)*12^0.5</f>
        <v>0.14429506386063751</v>
      </c>
      <c r="BK17" s="1" t="s">
        <v>942</v>
      </c>
      <c r="BQ17" s="9" t="s">
        <v>181</v>
      </c>
      <c r="BR17" s="5">
        <f>_xlfn.STDEV.S(BR4:BR15)*12^0.5</f>
        <v>0.12090189486446512</v>
      </c>
      <c r="BU17" s="1" t="s">
        <v>943</v>
      </c>
      <c r="CA17" s="9" t="s">
        <v>181</v>
      </c>
      <c r="CB17" s="5">
        <f>_xlfn.STDEV.S(CB4:CB15)*12^0.5</f>
        <v>0.14294693230197508</v>
      </c>
    </row>
    <row r="18" spans="2:80" x14ac:dyDescent="0.2">
      <c r="B18" s="1" t="s">
        <v>945</v>
      </c>
      <c r="H18" s="9" t="s">
        <v>181</v>
      </c>
      <c r="I18" s="5">
        <f>_xlfn.STDEV.S(I5:I16)*12^0.5</f>
        <v>0.14928380536901698</v>
      </c>
      <c r="M18" s="1" t="s">
        <v>945</v>
      </c>
      <c r="S18" s="9" t="s">
        <v>181</v>
      </c>
      <c r="T18" s="5">
        <f>_xlfn.STDEV.S(T5:T16)*12^0.5</f>
        <v>0.15559989483520631</v>
      </c>
      <c r="W18" s="1" t="s">
        <v>945</v>
      </c>
      <c r="AC18" s="9" t="s">
        <v>181</v>
      </c>
      <c r="AD18" s="5">
        <f>_xlfn.STDEV.S(AD5:AD16)*12^0.5</f>
        <v>0.12195850262952707</v>
      </c>
      <c r="AG18" s="1" t="s">
        <v>945</v>
      </c>
      <c r="AM18" s="4" t="s">
        <v>171</v>
      </c>
      <c r="AN18" s="7">
        <f>(AN16-I1)/AN17</f>
        <v>-0.41090425065509856</v>
      </c>
      <c r="AQ18" s="1" t="s">
        <v>948</v>
      </c>
      <c r="AW18" s="4" t="s">
        <v>171</v>
      </c>
      <c r="AX18" s="7">
        <f>(AX16-I1)/AX17</f>
        <v>-1.1380573780767482</v>
      </c>
      <c r="BA18" s="1" t="s">
        <v>945</v>
      </c>
      <c r="BG18" s="4" t="s">
        <v>171</v>
      </c>
      <c r="BH18" s="7">
        <f>(BH16-I1)/BH17</f>
        <v>-0.41354563681763051</v>
      </c>
      <c r="BK18" s="1" t="s">
        <v>945</v>
      </c>
      <c r="BQ18" s="4" t="s">
        <v>171</v>
      </c>
      <c r="BR18" s="7">
        <f>(BR16-I1)/BR17</f>
        <v>-0.39018458151703478</v>
      </c>
      <c r="BU18" s="1" t="s">
        <v>945</v>
      </c>
      <c r="CA18" s="4" t="s">
        <v>171</v>
      </c>
      <c r="CB18" s="7">
        <f>(CB16-I1)/CB17</f>
        <v>-0.38483520326899312</v>
      </c>
    </row>
    <row r="19" spans="2:80" x14ac:dyDescent="0.2">
      <c r="B19" s="1" t="s">
        <v>946</v>
      </c>
      <c r="H19" s="4" t="s">
        <v>171</v>
      </c>
      <c r="I19" s="7">
        <f>(I17-I1)/I18</f>
        <v>-0.43554623751660887</v>
      </c>
      <c r="M19" s="1" t="s">
        <v>946</v>
      </c>
      <c r="S19" s="4" t="s">
        <v>171</v>
      </c>
      <c r="T19" s="7">
        <f>(T17-I1)/T18</f>
        <v>-0.23460035792325382</v>
      </c>
      <c r="W19" s="1" t="s">
        <v>946</v>
      </c>
      <c r="AC19" s="4" t="s">
        <v>171</v>
      </c>
      <c r="AD19" s="7">
        <f>(AD17-I1)/AD18</f>
        <v>-0.23023913128876389</v>
      </c>
      <c r="AG19" s="1" t="s">
        <v>946</v>
      </c>
      <c r="AM19" s="8" t="s">
        <v>178</v>
      </c>
      <c r="AN19" s="5">
        <f>_xlfn.STDEV.S(AP4:AP9)*12^0.5</f>
        <v>6.3878133973997706E-2</v>
      </c>
      <c r="AQ19" s="1" t="s">
        <v>945</v>
      </c>
      <c r="AW19" s="8" t="s">
        <v>178</v>
      </c>
      <c r="AX19" s="5">
        <f>_xlfn.STDEV.S(AZ4:AZ9)*12^0.5</f>
        <v>0.10318358396566772</v>
      </c>
      <c r="BA19" s="1" t="s">
        <v>946</v>
      </c>
      <c r="BG19" s="8" t="s">
        <v>178</v>
      </c>
      <c r="BH19" s="5">
        <f>_xlfn.STDEV.S(BJ4:BJ9)*12^0.5</f>
        <v>6.3503322747711394E-2</v>
      </c>
      <c r="BK19" s="1" t="s">
        <v>946</v>
      </c>
      <c r="BQ19" s="8" t="s">
        <v>178</v>
      </c>
      <c r="BR19" s="5">
        <f>_xlfn.STDEV.S(BT4:BT9)*12^0.5</f>
        <v>9.0098412860604826E-2</v>
      </c>
      <c r="BU19" s="1" t="s">
        <v>946</v>
      </c>
      <c r="CA19" s="8" t="s">
        <v>178</v>
      </c>
      <c r="CB19" s="5">
        <f>_xlfn.STDEV.S(CD4:CD9)*12^0.5</f>
        <v>6.2664695004444076E-2</v>
      </c>
    </row>
    <row r="20" spans="2:80" x14ac:dyDescent="0.2">
      <c r="B20" s="1" t="s">
        <v>947</v>
      </c>
      <c r="H20" s="8" t="s">
        <v>178</v>
      </c>
      <c r="I20" s="5">
        <f>_xlfn.STDEV.S(K5:K9)*12^0.5</f>
        <v>0.10693878622838399</v>
      </c>
      <c r="M20" s="1" t="s">
        <v>947</v>
      </c>
      <c r="S20" s="8" t="s">
        <v>178</v>
      </c>
      <c r="T20" s="5">
        <f>_xlfn.STDEV.S(V5:V10)*12^0.5</f>
        <v>0.10505701309289162</v>
      </c>
      <c r="W20" s="1" t="s">
        <v>947</v>
      </c>
      <c r="AC20" s="8" t="s">
        <v>178</v>
      </c>
      <c r="AD20" s="5">
        <f>_xlfn.STDEV.S(AF5:AF10)*12^0.5</f>
        <v>8.0143596125953814E-2</v>
      </c>
      <c r="AG20" s="1" t="s">
        <v>947</v>
      </c>
      <c r="AM20" s="8" t="s">
        <v>177</v>
      </c>
      <c r="AN20" s="7">
        <f>(AN16-I1)/AN19</f>
        <v>-0.92801937841308246</v>
      </c>
      <c r="AQ20" s="1" t="s">
        <v>946</v>
      </c>
      <c r="AW20" s="8" t="s">
        <v>177</v>
      </c>
      <c r="AX20" s="7">
        <f>(AX16-I1)/AX19</f>
        <v>-1.4759896431382371</v>
      </c>
      <c r="BA20" s="1" t="s">
        <v>947</v>
      </c>
      <c r="BG20" s="8" t="s">
        <v>177</v>
      </c>
      <c r="BH20" s="7">
        <f>(BH16-I1)/BH19</f>
        <v>-0.93967672071204422</v>
      </c>
      <c r="BK20" s="1" t="s">
        <v>947</v>
      </c>
      <c r="BQ20" s="8" t="s">
        <v>177</v>
      </c>
      <c r="BR20" s="7">
        <f>(BR16-I1)/BR19</f>
        <v>-0.52358364320238238</v>
      </c>
      <c r="BU20" s="1" t="s">
        <v>947</v>
      </c>
      <c r="CA20" s="8" t="s">
        <v>177</v>
      </c>
      <c r="CB20" s="7">
        <f>(CB16-I1)/CB19</f>
        <v>-0.87786291380191495</v>
      </c>
    </row>
    <row r="21" spans="2:80" x14ac:dyDescent="0.2">
      <c r="B21" s="1" t="s">
        <v>948</v>
      </c>
      <c r="H21" s="8" t="s">
        <v>177</v>
      </c>
      <c r="I21" s="7">
        <f>(I17-I1)/I20</f>
        <v>-0.60801138711053826</v>
      </c>
      <c r="M21" s="1" t="s">
        <v>948</v>
      </c>
      <c r="S21" s="8" t="s">
        <v>177</v>
      </c>
      <c r="T21" s="7">
        <f>(T17-I1)/T20</f>
        <v>-0.34746648459235491</v>
      </c>
      <c r="W21" s="1" t="s">
        <v>948</v>
      </c>
      <c r="AC21" s="8" t="s">
        <v>177</v>
      </c>
      <c r="AD21" s="7">
        <f>(AD17-I1)/AD20</f>
        <v>-0.35036635559216434</v>
      </c>
      <c r="AG21" s="1" t="s">
        <v>948</v>
      </c>
      <c r="AM21" s="6" t="s">
        <v>179</v>
      </c>
      <c r="AN21" s="5">
        <f>AN7+AN8+AN9+AN10+AN11</f>
        <v>-0.1898</v>
      </c>
      <c r="AQ21" s="1" t="s">
        <v>947</v>
      </c>
      <c r="AW21" s="6" t="s">
        <v>179</v>
      </c>
      <c r="AX21" s="5">
        <f>AX7+AX8+AX9+AX10+AX11</f>
        <v>-0.19859999999999997</v>
      </c>
      <c r="BA21" s="1" t="s">
        <v>948</v>
      </c>
      <c r="BG21" s="6" t="s">
        <v>179</v>
      </c>
      <c r="BH21" s="5">
        <f>BH7+BH8+BH9+BH10+BH11</f>
        <v>-0.19019999999999998</v>
      </c>
      <c r="BK21" s="1" t="s">
        <v>948</v>
      </c>
      <c r="BQ21" s="6" t="s">
        <v>179</v>
      </c>
      <c r="BR21" s="5">
        <f>BR7</f>
        <v>-7.6300000000000007E-2</v>
      </c>
      <c r="BU21" s="1" t="s">
        <v>948</v>
      </c>
      <c r="CA21" s="6" t="s">
        <v>179</v>
      </c>
      <c r="CB21" s="5">
        <f>CB7</f>
        <v>-5.4699999999999999E-2</v>
      </c>
    </row>
    <row r="22" spans="2:80" x14ac:dyDescent="0.2">
      <c r="B22" s="1" t="s">
        <v>949</v>
      </c>
      <c r="H22" s="6" t="s">
        <v>179</v>
      </c>
      <c r="I22" s="5">
        <f>SUM(I8:I12)</f>
        <v>-0.2054</v>
      </c>
      <c r="M22" s="1" t="s">
        <v>942</v>
      </c>
      <c r="S22" s="6" t="s">
        <v>179</v>
      </c>
      <c r="T22" s="5">
        <f>SUM(T8:T12)</f>
        <v>-0.20039999999999999</v>
      </c>
      <c r="W22" s="1" t="s">
        <v>2293</v>
      </c>
      <c r="AC22" s="6" t="s">
        <v>179</v>
      </c>
      <c r="AD22" s="5">
        <f>AD8</f>
        <v>-6.9099999999999995E-2</v>
      </c>
      <c r="AG22" s="1" t="s">
        <v>942</v>
      </c>
      <c r="AQ22" s="1" t="s">
        <v>2293</v>
      </c>
      <c r="BA22" s="1" t="s">
        <v>942</v>
      </c>
      <c r="BK22" s="1" t="s">
        <v>2293</v>
      </c>
      <c r="BU22" s="1" t="s">
        <v>942</v>
      </c>
    </row>
    <row r="23" spans="2:80" x14ac:dyDescent="0.2">
      <c r="B23" s="1" t="s">
        <v>950</v>
      </c>
      <c r="H23" s="6"/>
      <c r="M23" s="1" t="s">
        <v>944</v>
      </c>
      <c r="S23" s="6"/>
      <c r="W23" s="1" t="s">
        <v>2294</v>
      </c>
      <c r="AC23" s="6"/>
      <c r="AG23" s="1" t="s">
        <v>2330</v>
      </c>
      <c r="AQ23" s="1" t="s">
        <v>2294</v>
      </c>
      <c r="BA23" s="1" t="s">
        <v>2330</v>
      </c>
      <c r="BK23" s="1" t="s">
        <v>2294</v>
      </c>
      <c r="BU23" s="1" t="s">
        <v>2330</v>
      </c>
    </row>
    <row r="24" spans="2:80" x14ac:dyDescent="0.2">
      <c r="B24" s="1" t="s">
        <v>951</v>
      </c>
      <c r="M24" s="1" t="s">
        <v>943</v>
      </c>
      <c r="W24" s="1" t="s">
        <v>942</v>
      </c>
      <c r="AG24" s="1" t="s">
        <v>2331</v>
      </c>
      <c r="AQ24" s="1" t="s">
        <v>943</v>
      </c>
      <c r="BA24" s="1" t="s">
        <v>2331</v>
      </c>
      <c r="BK24" s="1" t="s">
        <v>943</v>
      </c>
      <c r="BU24" s="1" t="s">
        <v>2331</v>
      </c>
    </row>
    <row r="25" spans="2:80" x14ac:dyDescent="0.2">
      <c r="M25" s="1" t="s">
        <v>1057</v>
      </c>
      <c r="W25" s="1" t="s">
        <v>949</v>
      </c>
      <c r="AG25" s="1" t="s">
        <v>2332</v>
      </c>
      <c r="AQ25" s="1" t="s">
        <v>2773</v>
      </c>
      <c r="BA25" s="1" t="s">
        <v>2332</v>
      </c>
      <c r="BK25" s="1" t="s">
        <v>1059</v>
      </c>
      <c r="BU25" s="1" t="s">
        <v>2332</v>
      </c>
    </row>
    <row r="26" spans="2:80" x14ac:dyDescent="0.2">
      <c r="B26" s="1" t="s">
        <v>952</v>
      </c>
      <c r="M26" s="1" t="s">
        <v>1058</v>
      </c>
    </row>
    <row r="27" spans="2:80" x14ac:dyDescent="0.2">
      <c r="B27" s="1" t="s">
        <v>953</v>
      </c>
      <c r="M27" s="1" t="s">
        <v>1059</v>
      </c>
      <c r="W27" s="2" t="s">
        <v>2633</v>
      </c>
      <c r="AG27" s="2" t="s">
        <v>2633</v>
      </c>
      <c r="AQ27" s="2" t="s">
        <v>2774</v>
      </c>
      <c r="BA27" s="2" t="s">
        <v>2774</v>
      </c>
      <c r="BK27" s="2" t="s">
        <v>2999</v>
      </c>
      <c r="BU27" s="2" t="s">
        <v>2999</v>
      </c>
    </row>
    <row r="28" spans="2:80" x14ac:dyDescent="0.2">
      <c r="B28" s="1" t="s">
        <v>954</v>
      </c>
      <c r="W28" s="1" t="s">
        <v>956</v>
      </c>
      <c r="AG28" s="1" t="s">
        <v>952</v>
      </c>
      <c r="AQ28" s="1" t="s">
        <v>956</v>
      </c>
      <c r="BA28" s="1" t="s">
        <v>952</v>
      </c>
      <c r="BK28" s="1" t="s">
        <v>956</v>
      </c>
      <c r="BU28" s="1" t="s">
        <v>952</v>
      </c>
    </row>
    <row r="29" spans="2:80" x14ac:dyDescent="0.2">
      <c r="B29" s="1" t="s">
        <v>955</v>
      </c>
      <c r="M29" s="2" t="s">
        <v>1060</v>
      </c>
      <c r="W29" s="1" t="s">
        <v>955</v>
      </c>
      <c r="AG29" s="1" t="s">
        <v>953</v>
      </c>
      <c r="AQ29" s="1" t="s">
        <v>955</v>
      </c>
      <c r="BA29" s="1" t="s">
        <v>953</v>
      </c>
      <c r="BK29" s="1" t="s">
        <v>955</v>
      </c>
      <c r="BU29" s="1" t="s">
        <v>953</v>
      </c>
    </row>
    <row r="30" spans="2:80" x14ac:dyDescent="0.2">
      <c r="B30" s="1" t="s">
        <v>956</v>
      </c>
      <c r="M30" s="1" t="s">
        <v>956</v>
      </c>
      <c r="W30" s="1" t="s">
        <v>960</v>
      </c>
      <c r="AG30" s="1" t="s">
        <v>954</v>
      </c>
      <c r="AQ30" s="1" t="s">
        <v>960</v>
      </c>
      <c r="BA30" s="1" t="s">
        <v>954</v>
      </c>
      <c r="BK30" s="1" t="s">
        <v>960</v>
      </c>
      <c r="BU30" s="1" t="s">
        <v>954</v>
      </c>
    </row>
    <row r="31" spans="2:80" x14ac:dyDescent="0.2">
      <c r="B31" s="1" t="s">
        <v>957</v>
      </c>
      <c r="M31" s="1" t="s">
        <v>955</v>
      </c>
      <c r="W31" s="1" t="s">
        <v>959</v>
      </c>
      <c r="AG31" s="1" t="s">
        <v>956</v>
      </c>
      <c r="AQ31" s="1" t="s">
        <v>959</v>
      </c>
      <c r="BA31" s="1" t="s">
        <v>956</v>
      </c>
      <c r="BK31" s="1" t="s">
        <v>959</v>
      </c>
      <c r="BU31" s="1" t="s">
        <v>956</v>
      </c>
    </row>
    <row r="32" spans="2:80" x14ac:dyDescent="0.2">
      <c r="B32" s="1" t="s">
        <v>958</v>
      </c>
      <c r="M32" s="1" t="s">
        <v>960</v>
      </c>
      <c r="W32" s="1" t="s">
        <v>958</v>
      </c>
      <c r="AG32" s="1" t="s">
        <v>955</v>
      </c>
      <c r="AQ32" s="1" t="s">
        <v>958</v>
      </c>
      <c r="BA32" s="1" t="s">
        <v>955</v>
      </c>
      <c r="BK32" s="1" t="s">
        <v>958</v>
      </c>
      <c r="BU32" s="1" t="s">
        <v>955</v>
      </c>
    </row>
    <row r="33" spans="2:73" x14ac:dyDescent="0.2">
      <c r="B33" s="1" t="s">
        <v>959</v>
      </c>
      <c r="M33" s="1" t="s">
        <v>959</v>
      </c>
      <c r="W33" s="1" t="s">
        <v>953</v>
      </c>
      <c r="AG33" s="1" t="s">
        <v>957</v>
      </c>
      <c r="AQ33" s="1" t="s">
        <v>953</v>
      </c>
      <c r="BA33" s="1" t="s">
        <v>957</v>
      </c>
      <c r="BK33" s="1" t="s">
        <v>953</v>
      </c>
      <c r="BU33" s="1" t="s">
        <v>957</v>
      </c>
    </row>
    <row r="34" spans="2:73" x14ac:dyDescent="0.2">
      <c r="B34" s="1" t="s">
        <v>960</v>
      </c>
      <c r="M34" s="1" t="s">
        <v>958</v>
      </c>
      <c r="W34" s="1" t="s">
        <v>2295</v>
      </c>
      <c r="AG34" s="1" t="s">
        <v>958</v>
      </c>
      <c r="AQ34" s="1" t="s">
        <v>2295</v>
      </c>
      <c r="BA34" s="1" t="s">
        <v>958</v>
      </c>
      <c r="BK34" s="1" t="s">
        <v>2295</v>
      </c>
      <c r="BU34" s="1" t="s">
        <v>958</v>
      </c>
    </row>
    <row r="35" spans="2:73" x14ac:dyDescent="0.2">
      <c r="B35" s="1" t="s">
        <v>961</v>
      </c>
      <c r="M35" s="1" t="s">
        <v>953</v>
      </c>
      <c r="W35" s="1" t="s">
        <v>2296</v>
      </c>
      <c r="AG35" s="1" t="s">
        <v>959</v>
      </c>
      <c r="AQ35" s="1" t="s">
        <v>2296</v>
      </c>
      <c r="BA35" s="1" t="s">
        <v>959</v>
      </c>
      <c r="BK35" s="1" t="s">
        <v>2296</v>
      </c>
      <c r="BU35" s="1" t="s">
        <v>959</v>
      </c>
    </row>
    <row r="36" spans="2:73" x14ac:dyDescent="0.2">
      <c r="M36" s="1" t="s">
        <v>957</v>
      </c>
      <c r="W36" s="1" t="s">
        <v>957</v>
      </c>
      <c r="AG36" s="1" t="s">
        <v>960</v>
      </c>
      <c r="AQ36" s="1" t="s">
        <v>957</v>
      </c>
      <c r="BA36" s="1" t="s">
        <v>960</v>
      </c>
      <c r="BK36" s="1" t="s">
        <v>957</v>
      </c>
      <c r="BU36" s="1" t="s">
        <v>960</v>
      </c>
    </row>
    <row r="37" spans="2:73" x14ac:dyDescent="0.2">
      <c r="B37" s="1" t="s">
        <v>962</v>
      </c>
      <c r="M37" s="1" t="s">
        <v>954</v>
      </c>
      <c r="W37" s="1" t="s">
        <v>1061</v>
      </c>
      <c r="AG37" s="1" t="s">
        <v>2295</v>
      </c>
      <c r="AQ37" s="1" t="s">
        <v>1061</v>
      </c>
      <c r="BA37" s="1" t="s">
        <v>2295</v>
      </c>
      <c r="BK37" s="1" t="s">
        <v>1061</v>
      </c>
      <c r="BU37" s="1" t="s">
        <v>2295</v>
      </c>
    </row>
    <row r="38" spans="2:73" x14ac:dyDescent="0.2">
      <c r="B38" s="1" t="s">
        <v>963</v>
      </c>
      <c r="M38" s="1" t="s">
        <v>952</v>
      </c>
    </row>
    <row r="39" spans="2:73" x14ac:dyDescent="0.2">
      <c r="B39" s="1" t="s">
        <v>964</v>
      </c>
      <c r="M39" s="1" t="s">
        <v>1061</v>
      </c>
      <c r="W39" s="2" t="s">
        <v>2634</v>
      </c>
      <c r="AG39" s="2" t="s">
        <v>2634</v>
      </c>
      <c r="AQ39" s="2" t="s">
        <v>2775</v>
      </c>
      <c r="BA39" s="2" t="s">
        <v>2775</v>
      </c>
      <c r="BK39" s="2" t="s">
        <v>3000</v>
      </c>
      <c r="BU39" s="2" t="s">
        <v>3000</v>
      </c>
    </row>
    <row r="40" spans="2:73" x14ac:dyDescent="0.2">
      <c r="B40" s="1" t="s">
        <v>965</v>
      </c>
      <c r="W40" s="1" t="s">
        <v>962</v>
      </c>
      <c r="AG40" s="1" t="s">
        <v>962</v>
      </c>
      <c r="AQ40" s="1" t="s">
        <v>962</v>
      </c>
      <c r="BA40" s="1" t="s">
        <v>962</v>
      </c>
      <c r="BK40" s="1" t="s">
        <v>962</v>
      </c>
      <c r="BU40" s="1" t="s">
        <v>962</v>
      </c>
    </row>
    <row r="41" spans="2:73" x14ac:dyDescent="0.2">
      <c r="B41" s="1" t="s">
        <v>966</v>
      </c>
      <c r="M41" s="2" t="s">
        <v>1062</v>
      </c>
      <c r="W41" s="1" t="s">
        <v>2297</v>
      </c>
      <c r="AG41" s="1" t="s">
        <v>963</v>
      </c>
      <c r="AQ41" s="1" t="s">
        <v>2776</v>
      </c>
      <c r="BA41" s="1" t="s">
        <v>963</v>
      </c>
      <c r="BK41" s="1" t="s">
        <v>2776</v>
      </c>
      <c r="BU41" s="1" t="s">
        <v>963</v>
      </c>
    </row>
    <row r="42" spans="2:73" x14ac:dyDescent="0.2">
      <c r="B42" s="1" t="s">
        <v>967</v>
      </c>
      <c r="M42" s="1" t="s">
        <v>962</v>
      </c>
      <c r="W42" s="1" t="s">
        <v>2298</v>
      </c>
      <c r="AG42" s="1" t="s">
        <v>964</v>
      </c>
      <c r="AQ42" s="1" t="s">
        <v>964</v>
      </c>
      <c r="BA42" s="1" t="s">
        <v>964</v>
      </c>
      <c r="BK42" s="1" t="s">
        <v>966</v>
      </c>
      <c r="BU42" s="1" t="s">
        <v>964</v>
      </c>
    </row>
    <row r="43" spans="2:73" x14ac:dyDescent="0.2">
      <c r="B43" s="1" t="s">
        <v>968</v>
      </c>
      <c r="M43" s="1" t="s">
        <v>963</v>
      </c>
      <c r="W43" s="1" t="s">
        <v>2299</v>
      </c>
      <c r="AG43" s="1" t="s">
        <v>965</v>
      </c>
      <c r="AQ43" s="1" t="s">
        <v>2777</v>
      </c>
      <c r="BA43" s="1" t="s">
        <v>965</v>
      </c>
      <c r="BK43" s="1" t="s">
        <v>2777</v>
      </c>
      <c r="BU43" s="1" t="s">
        <v>965</v>
      </c>
    </row>
    <row r="44" spans="2:73" x14ac:dyDescent="0.2">
      <c r="B44" s="1" t="s">
        <v>969</v>
      </c>
      <c r="M44" s="1" t="s">
        <v>964</v>
      </c>
      <c r="W44" s="1" t="s">
        <v>968</v>
      </c>
      <c r="AG44" s="1" t="s">
        <v>966</v>
      </c>
      <c r="AQ44" s="1" t="s">
        <v>965</v>
      </c>
      <c r="BA44" s="1" t="s">
        <v>966</v>
      </c>
      <c r="BK44" s="1" t="s">
        <v>964</v>
      </c>
      <c r="BU44" s="1" t="s">
        <v>966</v>
      </c>
    </row>
    <row r="45" spans="2:73" x14ac:dyDescent="0.2">
      <c r="B45" s="1" t="s">
        <v>970</v>
      </c>
      <c r="M45" s="1" t="s">
        <v>965</v>
      </c>
      <c r="W45" s="1" t="s">
        <v>969</v>
      </c>
      <c r="AG45" s="1" t="s">
        <v>967</v>
      </c>
      <c r="AQ45" s="1" t="s">
        <v>966</v>
      </c>
      <c r="BA45" s="1" t="s">
        <v>967</v>
      </c>
      <c r="BK45" s="1" t="s">
        <v>968</v>
      </c>
      <c r="BU45" s="1" t="s">
        <v>967</v>
      </c>
    </row>
    <row r="46" spans="2:73" x14ac:dyDescent="0.2">
      <c r="B46" s="1" t="s">
        <v>971</v>
      </c>
      <c r="M46" s="1" t="s">
        <v>966</v>
      </c>
      <c r="W46" s="1" t="s">
        <v>970</v>
      </c>
      <c r="AG46" s="1" t="s">
        <v>968</v>
      </c>
      <c r="AQ46" s="1" t="s">
        <v>968</v>
      </c>
      <c r="BA46" s="1" t="s">
        <v>968</v>
      </c>
      <c r="BK46" s="1" t="s">
        <v>969</v>
      </c>
      <c r="BU46" s="1" t="s">
        <v>968</v>
      </c>
    </row>
    <row r="47" spans="2:73" x14ac:dyDescent="0.2">
      <c r="M47" s="1" t="s">
        <v>967</v>
      </c>
      <c r="W47" s="1" t="s">
        <v>971</v>
      </c>
      <c r="AG47" s="1" t="s">
        <v>970</v>
      </c>
      <c r="AQ47" s="1" t="s">
        <v>969</v>
      </c>
      <c r="BA47" s="1" t="s">
        <v>970</v>
      </c>
      <c r="BK47" s="1" t="s">
        <v>970</v>
      </c>
      <c r="BU47" s="1" t="s">
        <v>970</v>
      </c>
    </row>
    <row r="48" spans="2:73" x14ac:dyDescent="0.2">
      <c r="B48" s="1" t="s">
        <v>972</v>
      </c>
      <c r="M48" s="1" t="s">
        <v>968</v>
      </c>
      <c r="W48" s="1" t="s">
        <v>2300</v>
      </c>
      <c r="AG48" s="1" t="s">
        <v>971</v>
      </c>
      <c r="AQ48" s="1" t="s">
        <v>970</v>
      </c>
      <c r="BA48" s="1" t="s">
        <v>971</v>
      </c>
      <c r="BK48" s="1" t="s">
        <v>971</v>
      </c>
      <c r="BU48" s="1" t="s">
        <v>971</v>
      </c>
    </row>
    <row r="49" spans="2:73" x14ac:dyDescent="0.2">
      <c r="B49" s="1" t="s">
        <v>973</v>
      </c>
      <c r="M49" s="1" t="s">
        <v>969</v>
      </c>
      <c r="W49" s="1" t="s">
        <v>2301</v>
      </c>
      <c r="AG49" s="1" t="s">
        <v>2300</v>
      </c>
      <c r="AQ49" s="1" t="s">
        <v>971</v>
      </c>
      <c r="BA49" s="1" t="s">
        <v>2300</v>
      </c>
      <c r="BK49" s="1" t="s">
        <v>2300</v>
      </c>
      <c r="BU49" s="1" t="s">
        <v>2300</v>
      </c>
    </row>
    <row r="50" spans="2:73" x14ac:dyDescent="0.2">
      <c r="B50" s="1" t="s">
        <v>974</v>
      </c>
      <c r="M50" s="1" t="s">
        <v>970</v>
      </c>
    </row>
    <row r="51" spans="2:73" x14ac:dyDescent="0.2">
      <c r="B51" s="1" t="s">
        <v>975</v>
      </c>
      <c r="M51" s="1" t="s">
        <v>971</v>
      </c>
      <c r="W51" s="2" t="s">
        <v>2635</v>
      </c>
      <c r="AG51" s="2" t="s">
        <v>2635</v>
      </c>
      <c r="AQ51" s="2" t="s">
        <v>2778</v>
      </c>
      <c r="BA51" s="2" t="s">
        <v>2778</v>
      </c>
      <c r="BK51" s="2" t="s">
        <v>3001</v>
      </c>
      <c r="BU51" s="2" t="s">
        <v>3001</v>
      </c>
    </row>
    <row r="52" spans="2:73" x14ac:dyDescent="0.2">
      <c r="B52" s="1" t="s">
        <v>976</v>
      </c>
      <c r="W52" s="1" t="s">
        <v>976</v>
      </c>
      <c r="AG52" s="1" t="s">
        <v>978</v>
      </c>
      <c r="AQ52" s="1" t="s">
        <v>976</v>
      </c>
      <c r="BA52" s="1" t="s">
        <v>978</v>
      </c>
      <c r="BK52" s="1" t="s">
        <v>2302</v>
      </c>
      <c r="BU52" s="1" t="s">
        <v>978</v>
      </c>
    </row>
    <row r="53" spans="2:73" x14ac:dyDescent="0.2">
      <c r="B53" s="1" t="s">
        <v>977</v>
      </c>
      <c r="M53" s="2" t="s">
        <v>1063</v>
      </c>
      <c r="W53" s="1" t="s">
        <v>2302</v>
      </c>
      <c r="AG53" s="1" t="s">
        <v>1064</v>
      </c>
      <c r="AQ53" s="1" t="s">
        <v>973</v>
      </c>
      <c r="BA53" s="1" t="s">
        <v>1064</v>
      </c>
      <c r="BK53" s="1" t="s">
        <v>1065</v>
      </c>
      <c r="BU53" s="1" t="s">
        <v>1064</v>
      </c>
    </row>
    <row r="54" spans="2:73" x14ac:dyDescent="0.2">
      <c r="B54" s="1" t="s">
        <v>978</v>
      </c>
      <c r="M54" s="1" t="s">
        <v>972</v>
      </c>
      <c r="W54" s="1" t="s">
        <v>2303</v>
      </c>
      <c r="AG54" s="1" t="s">
        <v>973</v>
      </c>
      <c r="AQ54" s="1" t="s">
        <v>981</v>
      </c>
      <c r="BA54" s="1" t="s">
        <v>973</v>
      </c>
      <c r="BK54" s="1" t="s">
        <v>978</v>
      </c>
      <c r="BU54" s="1" t="s">
        <v>973</v>
      </c>
    </row>
    <row r="55" spans="2:73" x14ac:dyDescent="0.2">
      <c r="B55" s="1" t="s">
        <v>979</v>
      </c>
      <c r="M55" s="1" t="s">
        <v>1064</v>
      </c>
      <c r="W55" s="1" t="s">
        <v>1065</v>
      </c>
      <c r="AG55" s="1" t="s">
        <v>981</v>
      </c>
      <c r="AQ55" s="1" t="s">
        <v>2305</v>
      </c>
      <c r="BA55" s="1" t="s">
        <v>981</v>
      </c>
      <c r="BK55" s="1" t="s">
        <v>981</v>
      </c>
      <c r="BU55" s="1" t="s">
        <v>981</v>
      </c>
    </row>
    <row r="56" spans="2:73" x14ac:dyDescent="0.2">
      <c r="B56" s="1" t="s">
        <v>980</v>
      </c>
      <c r="M56" s="1" t="s">
        <v>973</v>
      </c>
      <c r="W56" s="1" t="s">
        <v>980</v>
      </c>
      <c r="AG56" s="1" t="s">
        <v>972</v>
      </c>
      <c r="AQ56" s="1" t="s">
        <v>978</v>
      </c>
      <c r="BA56" s="1" t="s">
        <v>972</v>
      </c>
      <c r="BK56" s="1" t="s">
        <v>2305</v>
      </c>
      <c r="BU56" s="1" t="s">
        <v>972</v>
      </c>
    </row>
    <row r="57" spans="2:73" x14ac:dyDescent="0.2">
      <c r="B57" s="1" t="s">
        <v>981</v>
      </c>
      <c r="M57" s="1" t="s">
        <v>981</v>
      </c>
      <c r="W57" s="1" t="s">
        <v>2304</v>
      </c>
      <c r="AG57" s="1" t="s">
        <v>1065</v>
      </c>
      <c r="AQ57" s="1" t="s">
        <v>977</v>
      </c>
      <c r="BA57" s="1" t="s">
        <v>1065</v>
      </c>
      <c r="BK57" s="1" t="s">
        <v>976</v>
      </c>
      <c r="BU57" s="1" t="s">
        <v>1065</v>
      </c>
    </row>
    <row r="58" spans="2:73" x14ac:dyDescent="0.2">
      <c r="M58" s="1" t="s">
        <v>978</v>
      </c>
      <c r="W58" s="1" t="s">
        <v>977</v>
      </c>
      <c r="AG58" s="1" t="s">
        <v>1066</v>
      </c>
      <c r="AQ58" s="1" t="s">
        <v>1065</v>
      </c>
      <c r="BA58" s="1" t="s">
        <v>1066</v>
      </c>
      <c r="BK58" s="1" t="s">
        <v>977</v>
      </c>
      <c r="BU58" s="1" t="s">
        <v>1066</v>
      </c>
    </row>
    <row r="59" spans="2:73" x14ac:dyDescent="0.2">
      <c r="B59" s="1" t="s">
        <v>982</v>
      </c>
      <c r="M59" s="1" t="s">
        <v>1065</v>
      </c>
      <c r="W59" s="1" t="s">
        <v>978</v>
      </c>
      <c r="AG59" s="1" t="s">
        <v>979</v>
      </c>
      <c r="AQ59" s="1" t="s">
        <v>2304</v>
      </c>
      <c r="BA59" s="1" t="s">
        <v>2792</v>
      </c>
      <c r="BK59" s="1" t="s">
        <v>2304</v>
      </c>
      <c r="BU59" s="1" t="s">
        <v>979</v>
      </c>
    </row>
    <row r="60" spans="2:73" x14ac:dyDescent="0.2">
      <c r="B60" s="1" t="s">
        <v>983</v>
      </c>
      <c r="M60" s="1" t="s">
        <v>1066</v>
      </c>
      <c r="W60" s="1" t="s">
        <v>981</v>
      </c>
      <c r="AG60" s="1" t="s">
        <v>974</v>
      </c>
      <c r="AQ60" s="1" t="s">
        <v>2302</v>
      </c>
      <c r="BA60" s="1" t="s">
        <v>974</v>
      </c>
      <c r="BK60" s="1" t="s">
        <v>973</v>
      </c>
      <c r="BU60" s="1" t="s">
        <v>974</v>
      </c>
    </row>
    <row r="61" spans="2:73" x14ac:dyDescent="0.2">
      <c r="B61" s="1" t="s">
        <v>984</v>
      </c>
      <c r="M61" s="1" t="s">
        <v>979</v>
      </c>
      <c r="W61" s="1" t="s">
        <v>2305</v>
      </c>
      <c r="AG61" s="1" t="s">
        <v>975</v>
      </c>
      <c r="AQ61" s="1" t="s">
        <v>979</v>
      </c>
      <c r="BA61" s="1" t="s">
        <v>975</v>
      </c>
      <c r="BK61" s="1" t="s">
        <v>980</v>
      </c>
      <c r="BU61" s="1" t="s">
        <v>975</v>
      </c>
    </row>
    <row r="62" spans="2:73" x14ac:dyDescent="0.2">
      <c r="B62" s="1" t="s">
        <v>985</v>
      </c>
      <c r="M62" s="1" t="s">
        <v>974</v>
      </c>
    </row>
    <row r="63" spans="2:73" x14ac:dyDescent="0.2">
      <c r="B63" s="1" t="s">
        <v>986</v>
      </c>
      <c r="M63" s="1" t="s">
        <v>975</v>
      </c>
      <c r="W63" s="2" t="s">
        <v>2636</v>
      </c>
      <c r="AG63" s="2" t="s">
        <v>2636</v>
      </c>
      <c r="AQ63" s="2" t="s">
        <v>2779</v>
      </c>
      <c r="BA63" s="2" t="s">
        <v>2779</v>
      </c>
      <c r="BK63" s="2" t="s">
        <v>3002</v>
      </c>
      <c r="BU63" s="2" t="s">
        <v>3002</v>
      </c>
    </row>
    <row r="64" spans="2:73" x14ac:dyDescent="0.2">
      <c r="B64" s="1" t="s">
        <v>987</v>
      </c>
      <c r="W64" s="1" t="s">
        <v>987</v>
      </c>
      <c r="AG64" s="1" t="s">
        <v>983</v>
      </c>
      <c r="AQ64" s="1" t="s">
        <v>985</v>
      </c>
      <c r="BA64" s="1" t="s">
        <v>983</v>
      </c>
      <c r="BK64" s="1" t="s">
        <v>2308</v>
      </c>
      <c r="BU64" s="1" t="s">
        <v>983</v>
      </c>
    </row>
    <row r="65" spans="2:73" x14ac:dyDescent="0.2">
      <c r="B65" s="1" t="s">
        <v>988</v>
      </c>
      <c r="M65" s="2" t="s">
        <v>1067</v>
      </c>
      <c r="W65" s="1" t="s">
        <v>1069</v>
      </c>
      <c r="AG65" s="1" t="s">
        <v>2647</v>
      </c>
      <c r="AQ65" s="1" t="s">
        <v>989</v>
      </c>
      <c r="BA65" s="1" t="s">
        <v>2647</v>
      </c>
      <c r="BK65" s="1" t="s">
        <v>1069</v>
      </c>
      <c r="BU65" s="1" t="s">
        <v>991</v>
      </c>
    </row>
    <row r="66" spans="2:73" x14ac:dyDescent="0.2">
      <c r="B66" s="1" t="s">
        <v>989</v>
      </c>
      <c r="M66" s="1" t="s">
        <v>982</v>
      </c>
      <c r="W66" s="1" t="s">
        <v>984</v>
      </c>
      <c r="AG66" s="1" t="s">
        <v>1068</v>
      </c>
      <c r="AQ66" s="1" t="s">
        <v>2308</v>
      </c>
      <c r="BA66" s="1" t="s">
        <v>1068</v>
      </c>
      <c r="BK66" s="1" t="s">
        <v>984</v>
      </c>
      <c r="BU66" s="1" t="s">
        <v>1068</v>
      </c>
    </row>
    <row r="67" spans="2:73" x14ac:dyDescent="0.2">
      <c r="B67" s="1" t="s">
        <v>990</v>
      </c>
      <c r="M67" s="1" t="s">
        <v>990</v>
      </c>
      <c r="W67" s="1" t="s">
        <v>2306</v>
      </c>
      <c r="AG67" s="1" t="s">
        <v>989</v>
      </c>
      <c r="AQ67" s="1" t="s">
        <v>2780</v>
      </c>
      <c r="BA67" s="1" t="s">
        <v>989</v>
      </c>
      <c r="BK67" s="1" t="s">
        <v>987</v>
      </c>
      <c r="BU67" s="1" t="s">
        <v>989</v>
      </c>
    </row>
    <row r="68" spans="2:73" x14ac:dyDescent="0.2">
      <c r="B68" s="1" t="s">
        <v>991</v>
      </c>
      <c r="M68" s="1" t="s">
        <v>983</v>
      </c>
      <c r="W68" s="1" t="s">
        <v>2307</v>
      </c>
      <c r="AG68" s="1" t="s">
        <v>988</v>
      </c>
      <c r="AQ68" s="1" t="s">
        <v>2307</v>
      </c>
      <c r="BA68" s="1" t="s">
        <v>988</v>
      </c>
      <c r="BK68" s="1" t="s">
        <v>982</v>
      </c>
      <c r="BU68" s="1" t="s">
        <v>988</v>
      </c>
    </row>
    <row r="69" spans="2:73" x14ac:dyDescent="0.2">
      <c r="M69" s="1" t="s">
        <v>1068</v>
      </c>
      <c r="W69" s="1" t="s">
        <v>986</v>
      </c>
      <c r="AG69" s="1" t="s">
        <v>1069</v>
      </c>
      <c r="AQ69" s="1" t="s">
        <v>986</v>
      </c>
      <c r="BA69" s="1" t="s">
        <v>1069</v>
      </c>
      <c r="BK69" s="1" t="s">
        <v>3003</v>
      </c>
      <c r="BU69" s="1" t="s">
        <v>1069</v>
      </c>
    </row>
    <row r="70" spans="2:73" x14ac:dyDescent="0.2">
      <c r="B70" s="1" t="s">
        <v>992</v>
      </c>
      <c r="M70" s="1" t="s">
        <v>989</v>
      </c>
      <c r="W70" s="1" t="s">
        <v>985</v>
      </c>
      <c r="AG70" s="1" t="s">
        <v>985</v>
      </c>
      <c r="AQ70" s="1" t="s">
        <v>2306</v>
      </c>
      <c r="BA70" s="1" t="s">
        <v>985</v>
      </c>
      <c r="BK70" s="1" t="s">
        <v>983</v>
      </c>
      <c r="BU70" s="1" t="s">
        <v>985</v>
      </c>
    </row>
    <row r="71" spans="2:73" x14ac:dyDescent="0.2">
      <c r="B71" s="1" t="s">
        <v>993</v>
      </c>
      <c r="M71" s="1" t="s">
        <v>988</v>
      </c>
      <c r="W71" s="1" t="s">
        <v>989</v>
      </c>
      <c r="AG71" s="1" t="s">
        <v>1070</v>
      </c>
      <c r="AQ71" s="1" t="s">
        <v>1069</v>
      </c>
      <c r="BA71" s="1" t="s">
        <v>1070</v>
      </c>
      <c r="BK71" s="1" t="s">
        <v>989</v>
      </c>
      <c r="BU71" s="1" t="s">
        <v>1070</v>
      </c>
    </row>
    <row r="72" spans="2:73" x14ac:dyDescent="0.2">
      <c r="B72" s="1" t="s">
        <v>994</v>
      </c>
      <c r="M72" s="1" t="s">
        <v>1069</v>
      </c>
      <c r="W72" s="1" t="s">
        <v>1068</v>
      </c>
      <c r="AG72" s="1" t="s">
        <v>990</v>
      </c>
      <c r="AQ72" s="1" t="s">
        <v>983</v>
      </c>
      <c r="BA72" s="1" t="s">
        <v>990</v>
      </c>
      <c r="BK72" s="1" t="s">
        <v>1068</v>
      </c>
      <c r="BU72" s="1" t="s">
        <v>990</v>
      </c>
    </row>
    <row r="73" spans="2:73" x14ac:dyDescent="0.2">
      <c r="B73" s="1" t="s">
        <v>995</v>
      </c>
      <c r="M73" s="1" t="s">
        <v>985</v>
      </c>
      <c r="W73" s="1" t="s">
        <v>2308</v>
      </c>
      <c r="AG73" s="1" t="s">
        <v>987</v>
      </c>
      <c r="AQ73" s="1" t="s">
        <v>1070</v>
      </c>
      <c r="BA73" s="1" t="s">
        <v>987</v>
      </c>
      <c r="BK73" s="1" t="s">
        <v>2307</v>
      </c>
      <c r="BU73" s="1" t="s">
        <v>987</v>
      </c>
    </row>
    <row r="74" spans="2:73" x14ac:dyDescent="0.2">
      <c r="B74" s="1" t="s">
        <v>996</v>
      </c>
      <c r="M74" s="1" t="s">
        <v>1070</v>
      </c>
    </row>
    <row r="75" spans="2:73" x14ac:dyDescent="0.2">
      <c r="B75" s="1" t="s">
        <v>997</v>
      </c>
      <c r="M75" s="1" t="s">
        <v>991</v>
      </c>
      <c r="W75" s="2" t="s">
        <v>2637</v>
      </c>
      <c r="AG75" s="2" t="s">
        <v>2637</v>
      </c>
      <c r="AQ75" s="2" t="s">
        <v>2781</v>
      </c>
      <c r="BA75" s="2" t="s">
        <v>2781</v>
      </c>
      <c r="BK75" s="2" t="s">
        <v>3004</v>
      </c>
      <c r="BU75" s="2" t="s">
        <v>3004</v>
      </c>
    </row>
    <row r="76" spans="2:73" x14ac:dyDescent="0.2">
      <c r="B76" s="1" t="s">
        <v>998</v>
      </c>
      <c r="W76" s="1" t="s">
        <v>992</v>
      </c>
      <c r="AG76" s="1" t="s">
        <v>994</v>
      </c>
      <c r="AQ76" s="1" t="s">
        <v>992</v>
      </c>
      <c r="BA76" s="1" t="s">
        <v>994</v>
      </c>
      <c r="BK76" s="1" t="s">
        <v>992</v>
      </c>
      <c r="BU76" s="1" t="s">
        <v>994</v>
      </c>
    </row>
    <row r="77" spans="2:73" x14ac:dyDescent="0.2">
      <c r="B77" s="1" t="s">
        <v>999</v>
      </c>
      <c r="M77" s="2" t="s">
        <v>1071</v>
      </c>
      <c r="W77" s="1" t="s">
        <v>2309</v>
      </c>
      <c r="AG77" s="1" t="s">
        <v>998</v>
      </c>
      <c r="AQ77" s="1" t="s">
        <v>995</v>
      </c>
      <c r="BA77" s="1" t="s">
        <v>998</v>
      </c>
      <c r="BK77" s="1" t="s">
        <v>2309</v>
      </c>
      <c r="BU77" s="1" t="s">
        <v>998</v>
      </c>
    </row>
    <row r="78" spans="2:73" x14ac:dyDescent="0.2">
      <c r="B78" s="1" t="s">
        <v>1000</v>
      </c>
      <c r="M78" s="1" t="s">
        <v>992</v>
      </c>
      <c r="W78" s="1" t="s">
        <v>994</v>
      </c>
      <c r="AG78" s="1" t="s">
        <v>995</v>
      </c>
      <c r="AQ78" s="1" t="s">
        <v>997</v>
      </c>
      <c r="BA78" s="1" t="s">
        <v>995</v>
      </c>
      <c r="BK78" s="1" t="s">
        <v>994</v>
      </c>
      <c r="BU78" s="1" t="s">
        <v>995</v>
      </c>
    </row>
    <row r="79" spans="2:73" x14ac:dyDescent="0.2">
      <c r="B79" s="1" t="s">
        <v>1001</v>
      </c>
      <c r="M79" s="1" t="s">
        <v>994</v>
      </c>
      <c r="W79" s="1" t="s">
        <v>2310</v>
      </c>
      <c r="AG79" s="1" t="s">
        <v>997</v>
      </c>
      <c r="AQ79" s="1" t="s">
        <v>2315</v>
      </c>
      <c r="BA79" s="1" t="s">
        <v>997</v>
      </c>
      <c r="BK79" s="1" t="s">
        <v>2310</v>
      </c>
      <c r="BU79" s="1" t="s">
        <v>997</v>
      </c>
    </row>
    <row r="80" spans="2:73" x14ac:dyDescent="0.2">
      <c r="M80" s="1" t="s">
        <v>995</v>
      </c>
      <c r="W80" s="1" t="s">
        <v>2311</v>
      </c>
      <c r="AG80" s="1" t="s">
        <v>993</v>
      </c>
      <c r="AQ80" s="1" t="s">
        <v>2314</v>
      </c>
      <c r="BA80" s="1" t="s">
        <v>993</v>
      </c>
      <c r="BK80" s="1" t="s">
        <v>2311</v>
      </c>
      <c r="BU80" s="1" t="s">
        <v>993</v>
      </c>
    </row>
    <row r="81" spans="2:73" x14ac:dyDescent="0.2">
      <c r="B81" s="1" t="s">
        <v>1002</v>
      </c>
      <c r="M81" s="1" t="s">
        <v>997</v>
      </c>
      <c r="W81" s="1" t="s">
        <v>2312</v>
      </c>
      <c r="AG81" s="1" t="s">
        <v>996</v>
      </c>
      <c r="AQ81" s="1" t="s">
        <v>2309</v>
      </c>
      <c r="BA81" s="1" t="s">
        <v>996</v>
      </c>
      <c r="BK81" s="1" t="s">
        <v>2313</v>
      </c>
      <c r="BU81" s="1" t="s">
        <v>996</v>
      </c>
    </row>
    <row r="82" spans="2:73" x14ac:dyDescent="0.2">
      <c r="B82" s="1" t="s">
        <v>1003</v>
      </c>
      <c r="M82" s="1" t="s">
        <v>998</v>
      </c>
      <c r="W82" s="1" t="s">
        <v>996</v>
      </c>
      <c r="AG82" s="1" t="s">
        <v>992</v>
      </c>
      <c r="AQ82" s="1" t="s">
        <v>996</v>
      </c>
      <c r="BA82" s="1" t="s">
        <v>992</v>
      </c>
      <c r="BK82" s="1" t="s">
        <v>2312</v>
      </c>
      <c r="BU82" s="1" t="s">
        <v>992</v>
      </c>
    </row>
    <row r="83" spans="2:73" x14ac:dyDescent="0.2">
      <c r="B83" s="1" t="s">
        <v>1004</v>
      </c>
      <c r="M83" s="1" t="s">
        <v>996</v>
      </c>
      <c r="W83" s="1" t="s">
        <v>2313</v>
      </c>
      <c r="AG83" s="1" t="s">
        <v>2333</v>
      </c>
      <c r="AQ83" s="1" t="s">
        <v>2312</v>
      </c>
      <c r="BA83" s="1" t="s">
        <v>2333</v>
      </c>
      <c r="BK83" s="1" t="s">
        <v>996</v>
      </c>
      <c r="BU83" s="1" t="s">
        <v>2333</v>
      </c>
    </row>
    <row r="84" spans="2:73" x14ac:dyDescent="0.2">
      <c r="B84" s="1" t="s">
        <v>1005</v>
      </c>
      <c r="M84" s="1" t="s">
        <v>993</v>
      </c>
      <c r="W84" s="1" t="s">
        <v>2314</v>
      </c>
      <c r="AG84" s="1" t="s">
        <v>2334</v>
      </c>
      <c r="AQ84" s="1" t="s">
        <v>2313</v>
      </c>
      <c r="BA84" s="1" t="s">
        <v>2334</v>
      </c>
      <c r="BK84" s="1" t="s">
        <v>2314</v>
      </c>
      <c r="BU84" s="1" t="s">
        <v>2334</v>
      </c>
    </row>
    <row r="85" spans="2:73" x14ac:dyDescent="0.2">
      <c r="B85" s="1" t="s">
        <v>1006</v>
      </c>
      <c r="M85" s="1" t="s">
        <v>1072</v>
      </c>
      <c r="W85" s="1" t="s">
        <v>2315</v>
      </c>
      <c r="AG85" s="1" t="s">
        <v>1074</v>
      </c>
      <c r="AQ85" s="1" t="s">
        <v>2311</v>
      </c>
      <c r="BA85" s="1" t="s">
        <v>1074</v>
      </c>
      <c r="BK85" s="1" t="s">
        <v>2315</v>
      </c>
      <c r="BU85" s="1" t="s">
        <v>1074</v>
      </c>
    </row>
    <row r="86" spans="2:73" x14ac:dyDescent="0.2">
      <c r="B86" s="1" t="s">
        <v>1007</v>
      </c>
      <c r="M86" s="1" t="s">
        <v>1073</v>
      </c>
    </row>
    <row r="87" spans="2:73" x14ac:dyDescent="0.2">
      <c r="B87" s="1" t="s">
        <v>1008</v>
      </c>
      <c r="M87" s="1" t="s">
        <v>1074</v>
      </c>
      <c r="W87" s="2" t="s">
        <v>2638</v>
      </c>
      <c r="AG87" s="2" t="s">
        <v>2638</v>
      </c>
      <c r="AQ87" s="2" t="s">
        <v>2782</v>
      </c>
      <c r="BA87" s="2" t="s">
        <v>2782</v>
      </c>
      <c r="BK87" s="2" t="s">
        <v>3005</v>
      </c>
      <c r="BU87" s="2" t="s">
        <v>3005</v>
      </c>
    </row>
    <row r="88" spans="2:73" x14ac:dyDescent="0.2">
      <c r="B88" s="1" t="s">
        <v>1009</v>
      </c>
      <c r="W88" s="1" t="s">
        <v>1002</v>
      </c>
      <c r="AG88" s="1" t="s">
        <v>1002</v>
      </c>
      <c r="AQ88" s="1" t="s">
        <v>1002</v>
      </c>
      <c r="BA88" s="1" t="s">
        <v>1002</v>
      </c>
      <c r="BK88" s="1" t="s">
        <v>1002</v>
      </c>
      <c r="BU88" s="1" t="s">
        <v>1002</v>
      </c>
    </row>
    <row r="89" spans="2:73" x14ac:dyDescent="0.2">
      <c r="B89" s="1" t="s">
        <v>1010</v>
      </c>
      <c r="M89" s="2" t="s">
        <v>1075</v>
      </c>
      <c r="W89" s="1" t="s">
        <v>2316</v>
      </c>
      <c r="AG89" s="1" t="s">
        <v>1078</v>
      </c>
      <c r="AQ89" s="1" t="s">
        <v>2316</v>
      </c>
      <c r="BA89" s="1" t="s">
        <v>1078</v>
      </c>
      <c r="BK89" s="1" t="s">
        <v>2316</v>
      </c>
      <c r="BU89" s="1" t="s">
        <v>1078</v>
      </c>
    </row>
    <row r="90" spans="2:73" x14ac:dyDescent="0.2">
      <c r="B90" s="1" t="s">
        <v>1011</v>
      </c>
      <c r="M90" s="1" t="s">
        <v>1002</v>
      </c>
      <c r="W90" s="1" t="s">
        <v>1004</v>
      </c>
      <c r="AG90" s="1" t="s">
        <v>2335</v>
      </c>
      <c r="AQ90" s="1" t="s">
        <v>1004</v>
      </c>
      <c r="BA90" s="1" t="s">
        <v>2335</v>
      </c>
      <c r="BK90" s="1" t="s">
        <v>1004</v>
      </c>
      <c r="BU90" s="1" t="s">
        <v>2335</v>
      </c>
    </row>
    <row r="91" spans="2:73" x14ac:dyDescent="0.2">
      <c r="M91" s="1" t="s">
        <v>1076</v>
      </c>
      <c r="W91" s="1" t="s">
        <v>1005</v>
      </c>
      <c r="AG91" s="1" t="s">
        <v>1004</v>
      </c>
      <c r="AQ91" s="1" t="s">
        <v>1005</v>
      </c>
      <c r="BA91" s="1" t="s">
        <v>1004</v>
      </c>
      <c r="BK91" s="1" t="s">
        <v>1005</v>
      </c>
      <c r="BU91" s="1" t="s">
        <v>1004</v>
      </c>
    </row>
    <row r="92" spans="2:73" x14ac:dyDescent="0.2">
      <c r="B92" s="1" t="s">
        <v>1012</v>
      </c>
      <c r="M92" s="1" t="s">
        <v>1004</v>
      </c>
      <c r="W92" s="1" t="s">
        <v>1006</v>
      </c>
      <c r="AG92" s="1" t="s">
        <v>1006</v>
      </c>
      <c r="AQ92" s="1" t="s">
        <v>1006</v>
      </c>
      <c r="BA92" s="1" t="s">
        <v>1006</v>
      </c>
      <c r="BK92" s="1" t="s">
        <v>1006</v>
      </c>
      <c r="BU92" s="1" t="s">
        <v>1006</v>
      </c>
    </row>
    <row r="93" spans="2:73" x14ac:dyDescent="0.2">
      <c r="B93" s="1" t="s">
        <v>1013</v>
      </c>
      <c r="M93" s="1" t="s">
        <v>1005</v>
      </c>
      <c r="W93" s="1" t="s">
        <v>1007</v>
      </c>
      <c r="AG93" s="1" t="s">
        <v>1007</v>
      </c>
      <c r="AQ93" s="1" t="s">
        <v>1007</v>
      </c>
      <c r="BA93" s="1" t="s">
        <v>1007</v>
      </c>
      <c r="BK93" s="1" t="s">
        <v>1007</v>
      </c>
      <c r="BU93" s="1" t="s">
        <v>1007</v>
      </c>
    </row>
    <row r="94" spans="2:73" x14ac:dyDescent="0.2">
      <c r="B94" s="1" t="s">
        <v>1014</v>
      </c>
      <c r="M94" s="1" t="s">
        <v>1006</v>
      </c>
      <c r="W94" s="1" t="s">
        <v>1077</v>
      </c>
      <c r="AG94" s="1" t="s">
        <v>1077</v>
      </c>
      <c r="AQ94" s="1" t="s">
        <v>1077</v>
      </c>
      <c r="BA94" s="1" t="s">
        <v>1077</v>
      </c>
      <c r="BK94" s="1" t="s">
        <v>1077</v>
      </c>
      <c r="BU94" s="1" t="s">
        <v>1077</v>
      </c>
    </row>
    <row r="95" spans="2:73" x14ac:dyDescent="0.2">
      <c r="B95" s="1" t="s">
        <v>1015</v>
      </c>
      <c r="M95" s="1" t="s">
        <v>1007</v>
      </c>
      <c r="W95" s="1" t="s">
        <v>1009</v>
      </c>
      <c r="AG95" s="1" t="s">
        <v>1009</v>
      </c>
      <c r="AQ95" s="1" t="s">
        <v>1009</v>
      </c>
      <c r="BA95" s="1" t="s">
        <v>1009</v>
      </c>
      <c r="BK95" s="1" t="s">
        <v>1009</v>
      </c>
      <c r="BU95" s="1" t="s">
        <v>1009</v>
      </c>
    </row>
    <row r="96" spans="2:73" x14ac:dyDescent="0.2">
      <c r="B96" s="1" t="s">
        <v>1016</v>
      </c>
      <c r="M96" s="1" t="s">
        <v>1077</v>
      </c>
      <c r="W96" s="1" t="s">
        <v>1003</v>
      </c>
      <c r="AG96" s="1" t="s">
        <v>1003</v>
      </c>
      <c r="AQ96" s="1" t="s">
        <v>1003</v>
      </c>
      <c r="BA96" s="1" t="s">
        <v>1003</v>
      </c>
      <c r="BK96" s="1" t="s">
        <v>1003</v>
      </c>
      <c r="BU96" s="1" t="s">
        <v>1003</v>
      </c>
    </row>
    <row r="97" spans="2:73" x14ac:dyDescent="0.2">
      <c r="B97" s="1" t="s">
        <v>1017</v>
      </c>
      <c r="M97" s="1" t="s">
        <v>1009</v>
      </c>
      <c r="W97" s="1" t="s">
        <v>1078</v>
      </c>
      <c r="AG97" s="1" t="s">
        <v>1011</v>
      </c>
      <c r="AQ97" s="1" t="s">
        <v>1078</v>
      </c>
      <c r="BA97" s="1" t="s">
        <v>1011</v>
      </c>
      <c r="BK97" s="1" t="s">
        <v>1078</v>
      </c>
      <c r="BU97" s="1" t="s">
        <v>1011</v>
      </c>
    </row>
    <row r="98" spans="2:73" x14ac:dyDescent="0.2">
      <c r="B98" s="1" t="s">
        <v>1018</v>
      </c>
      <c r="M98" s="1" t="s">
        <v>1003</v>
      </c>
    </row>
    <row r="99" spans="2:73" x14ac:dyDescent="0.2">
      <c r="B99" s="1" t="s">
        <v>1019</v>
      </c>
      <c r="M99" s="1" t="s">
        <v>1078</v>
      </c>
      <c r="W99" s="2" t="s">
        <v>2639</v>
      </c>
      <c r="AG99" s="2" t="s">
        <v>2639</v>
      </c>
      <c r="AQ99" s="2" t="s">
        <v>2783</v>
      </c>
      <c r="BA99" s="2" t="s">
        <v>2783</v>
      </c>
      <c r="BK99" s="2" t="s">
        <v>3006</v>
      </c>
      <c r="BU99" s="2" t="s">
        <v>3006</v>
      </c>
    </row>
    <row r="100" spans="2:73" x14ac:dyDescent="0.2">
      <c r="B100" s="1" t="s">
        <v>1020</v>
      </c>
      <c r="W100" s="1" t="s">
        <v>1012</v>
      </c>
      <c r="AG100" s="1" t="s">
        <v>1012</v>
      </c>
      <c r="AQ100" s="1" t="s">
        <v>1012</v>
      </c>
      <c r="BA100" s="1" t="s">
        <v>1012</v>
      </c>
      <c r="BK100" s="1" t="s">
        <v>1012</v>
      </c>
      <c r="BU100" s="1" t="s">
        <v>1012</v>
      </c>
    </row>
    <row r="101" spans="2:73" x14ac:dyDescent="0.2">
      <c r="B101" s="1" t="s">
        <v>1021</v>
      </c>
      <c r="M101" s="2" t="s">
        <v>1079</v>
      </c>
      <c r="W101" s="1" t="s">
        <v>1014</v>
      </c>
      <c r="AG101" s="1" t="s">
        <v>1013</v>
      </c>
      <c r="AQ101" s="1" t="s">
        <v>1081</v>
      </c>
      <c r="BA101" s="1" t="s">
        <v>1013</v>
      </c>
      <c r="BK101" s="1" t="s">
        <v>1080</v>
      </c>
      <c r="BU101" s="1" t="s">
        <v>1013</v>
      </c>
    </row>
    <row r="102" spans="2:73" x14ac:dyDescent="0.2">
      <c r="M102" s="1" t="s">
        <v>1012</v>
      </c>
      <c r="W102" s="1" t="s">
        <v>1013</v>
      </c>
      <c r="AG102" s="1" t="s">
        <v>1016</v>
      </c>
      <c r="AQ102" s="1" t="s">
        <v>1080</v>
      </c>
      <c r="BA102" s="1" t="s">
        <v>1016</v>
      </c>
      <c r="BK102" s="1" t="s">
        <v>1013</v>
      </c>
      <c r="BU102" s="1" t="s">
        <v>1016</v>
      </c>
    </row>
    <row r="103" spans="2:73" x14ac:dyDescent="0.2">
      <c r="B103" s="1" t="s">
        <v>1022</v>
      </c>
      <c r="M103" s="1" t="s">
        <v>1013</v>
      </c>
      <c r="W103" s="1" t="s">
        <v>2317</v>
      </c>
      <c r="AG103" s="1" t="s">
        <v>1014</v>
      </c>
      <c r="AQ103" s="1" t="s">
        <v>2319</v>
      </c>
      <c r="BA103" s="1" t="s">
        <v>1014</v>
      </c>
      <c r="BK103" s="1" t="s">
        <v>2317</v>
      </c>
      <c r="BU103" s="1" t="s">
        <v>1014</v>
      </c>
    </row>
    <row r="104" spans="2:73" x14ac:dyDescent="0.2">
      <c r="B104" s="1" t="s">
        <v>1023</v>
      </c>
      <c r="M104" s="1" t="s">
        <v>1016</v>
      </c>
      <c r="W104" s="1" t="s">
        <v>1016</v>
      </c>
      <c r="AG104" s="1" t="s">
        <v>1015</v>
      </c>
      <c r="AQ104" s="1" t="s">
        <v>2318</v>
      </c>
      <c r="BA104" s="1" t="s">
        <v>1015</v>
      </c>
      <c r="BK104" s="1" t="s">
        <v>1016</v>
      </c>
      <c r="BU104" s="1" t="s">
        <v>1015</v>
      </c>
    </row>
    <row r="105" spans="2:73" x14ac:dyDescent="0.2">
      <c r="B105" s="1" t="s">
        <v>1024</v>
      </c>
      <c r="M105" s="1" t="s">
        <v>1015</v>
      </c>
      <c r="W105" s="1" t="s">
        <v>1081</v>
      </c>
      <c r="AG105" s="1" t="s">
        <v>2336</v>
      </c>
      <c r="AQ105" s="1" t="s">
        <v>1015</v>
      </c>
      <c r="BA105" s="1" t="s">
        <v>2336</v>
      </c>
      <c r="BK105" s="1" t="s">
        <v>1081</v>
      </c>
      <c r="BU105" s="1" t="s">
        <v>2336</v>
      </c>
    </row>
    <row r="106" spans="2:73" x14ac:dyDescent="0.2">
      <c r="B106" s="1" t="s">
        <v>1025</v>
      </c>
      <c r="M106" s="1" t="s">
        <v>1014</v>
      </c>
      <c r="W106" s="1" t="s">
        <v>2318</v>
      </c>
      <c r="AG106" s="1" t="s">
        <v>1081</v>
      </c>
      <c r="AQ106" s="1" t="s">
        <v>1016</v>
      </c>
      <c r="BA106" s="1" t="s">
        <v>1081</v>
      </c>
      <c r="BK106" s="1" t="s">
        <v>2318</v>
      </c>
      <c r="BU106" s="1" t="s">
        <v>1081</v>
      </c>
    </row>
    <row r="107" spans="2:73" x14ac:dyDescent="0.2">
      <c r="B107" s="1" t="s">
        <v>1026</v>
      </c>
      <c r="M107" s="1" t="s">
        <v>1080</v>
      </c>
      <c r="W107" s="1" t="s">
        <v>1015</v>
      </c>
      <c r="AG107" s="1" t="s">
        <v>1083</v>
      </c>
      <c r="AQ107" s="1" t="s">
        <v>1014</v>
      </c>
      <c r="BA107" s="1" t="s">
        <v>1083</v>
      </c>
      <c r="BK107" s="1" t="s">
        <v>2319</v>
      </c>
      <c r="BU107" s="1" t="s">
        <v>1083</v>
      </c>
    </row>
    <row r="108" spans="2:73" x14ac:dyDescent="0.2">
      <c r="B108" s="1" t="s">
        <v>1027</v>
      </c>
      <c r="M108" s="1" t="s">
        <v>1081</v>
      </c>
      <c r="W108" s="1" t="s">
        <v>2319</v>
      </c>
      <c r="AG108" s="1" t="s">
        <v>1020</v>
      </c>
      <c r="AQ108" s="1" t="s">
        <v>1013</v>
      </c>
      <c r="BA108" s="1" t="s">
        <v>1020</v>
      </c>
      <c r="BK108" s="1" t="s">
        <v>1014</v>
      </c>
      <c r="BU108" s="1" t="s">
        <v>1020</v>
      </c>
    </row>
    <row r="109" spans="2:73" x14ac:dyDescent="0.2">
      <c r="B109" s="1" t="s">
        <v>1028</v>
      </c>
      <c r="M109" s="1" t="s">
        <v>1082</v>
      </c>
      <c r="W109" s="1" t="s">
        <v>1080</v>
      </c>
      <c r="AG109" s="1" t="s">
        <v>2337</v>
      </c>
      <c r="AQ109" s="1" t="s">
        <v>2317</v>
      </c>
      <c r="BA109" s="1" t="s">
        <v>2337</v>
      </c>
      <c r="BK109" s="1" t="s">
        <v>1015</v>
      </c>
      <c r="BU109" s="1" t="s">
        <v>2337</v>
      </c>
    </row>
    <row r="110" spans="2:73" x14ac:dyDescent="0.2">
      <c r="B110" s="1" t="s">
        <v>1029</v>
      </c>
      <c r="M110" s="1" t="s">
        <v>1083</v>
      </c>
    </row>
    <row r="111" spans="2:73" x14ac:dyDescent="0.2">
      <c r="B111" s="1" t="s">
        <v>1030</v>
      </c>
      <c r="M111" s="1" t="s">
        <v>1020</v>
      </c>
      <c r="W111" s="2" t="s">
        <v>2640</v>
      </c>
      <c r="AG111" s="2" t="s">
        <v>2640</v>
      </c>
      <c r="AQ111" s="2" t="s">
        <v>2784</v>
      </c>
      <c r="BA111" s="2" t="s">
        <v>2784</v>
      </c>
      <c r="BK111" s="2" t="s">
        <v>3007</v>
      </c>
      <c r="BU111" s="2" t="s">
        <v>3007</v>
      </c>
    </row>
    <row r="112" spans="2:73" x14ac:dyDescent="0.2">
      <c r="B112" s="1" t="s">
        <v>1031</v>
      </c>
      <c r="W112" s="1" t="s">
        <v>1022</v>
      </c>
      <c r="AG112" s="1" t="s">
        <v>1022</v>
      </c>
      <c r="AQ112" s="1" t="s">
        <v>1022</v>
      </c>
      <c r="BA112" s="1" t="s">
        <v>1022</v>
      </c>
      <c r="BK112" s="1" t="s">
        <v>1022</v>
      </c>
      <c r="BU112" s="1" t="s">
        <v>1022</v>
      </c>
    </row>
    <row r="113" spans="2:73" x14ac:dyDescent="0.2">
      <c r="M113" s="2" t="s">
        <v>1084</v>
      </c>
      <c r="W113" s="1" t="s">
        <v>1026</v>
      </c>
      <c r="AG113" s="1" t="s">
        <v>1027</v>
      </c>
      <c r="AQ113" s="1" t="s">
        <v>1027</v>
      </c>
      <c r="BA113" s="1" t="s">
        <v>1027</v>
      </c>
      <c r="BK113" s="1" t="s">
        <v>1025</v>
      </c>
      <c r="BU113" s="1" t="s">
        <v>1027</v>
      </c>
    </row>
    <row r="114" spans="2:73" x14ac:dyDescent="0.2">
      <c r="B114" s="1" t="s">
        <v>1032</v>
      </c>
      <c r="M114" s="1" t="s">
        <v>1022</v>
      </c>
      <c r="W114" s="1" t="s">
        <v>1027</v>
      </c>
      <c r="AG114" s="1" t="s">
        <v>1025</v>
      </c>
      <c r="AQ114" s="1" t="s">
        <v>2785</v>
      </c>
      <c r="BA114" s="1" t="s">
        <v>1025</v>
      </c>
      <c r="BK114" s="1" t="s">
        <v>1027</v>
      </c>
      <c r="BU114" s="1" t="s">
        <v>1025</v>
      </c>
    </row>
    <row r="115" spans="2:73" x14ac:dyDescent="0.2">
      <c r="B115" s="1" t="s">
        <v>1033</v>
      </c>
      <c r="M115" s="1" t="s">
        <v>1027</v>
      </c>
      <c r="W115" s="1" t="s">
        <v>1025</v>
      </c>
      <c r="AG115" s="1" t="s">
        <v>1024</v>
      </c>
      <c r="AQ115" s="1" t="s">
        <v>1025</v>
      </c>
      <c r="BA115" s="1" t="s">
        <v>1024</v>
      </c>
      <c r="BK115" s="1" t="s">
        <v>1026</v>
      </c>
      <c r="BU115" s="1" t="s">
        <v>1024</v>
      </c>
    </row>
    <row r="116" spans="2:73" x14ac:dyDescent="0.2">
      <c r="B116" s="1" t="s">
        <v>1034</v>
      </c>
      <c r="M116" s="1" t="s">
        <v>1024</v>
      </c>
      <c r="W116" s="1" t="s">
        <v>2320</v>
      </c>
      <c r="AG116" s="1" t="s">
        <v>1023</v>
      </c>
      <c r="AQ116" s="1" t="s">
        <v>2320</v>
      </c>
      <c r="BA116" s="1" t="s">
        <v>1023</v>
      </c>
      <c r="BK116" s="1" t="s">
        <v>1024</v>
      </c>
      <c r="BU116" s="1" t="s">
        <v>1023</v>
      </c>
    </row>
    <row r="117" spans="2:73" x14ac:dyDescent="0.2">
      <c r="B117" s="1" t="s">
        <v>1035</v>
      </c>
      <c r="M117" s="1" t="s">
        <v>1026</v>
      </c>
      <c r="W117" s="1" t="s">
        <v>1024</v>
      </c>
      <c r="AG117" s="1" t="s">
        <v>1026</v>
      </c>
      <c r="AQ117" s="1" t="s">
        <v>2321</v>
      </c>
      <c r="BA117" s="1" t="s">
        <v>1026</v>
      </c>
      <c r="BK117" s="1" t="s">
        <v>3008</v>
      </c>
      <c r="BU117" s="1" t="s">
        <v>1026</v>
      </c>
    </row>
    <row r="118" spans="2:73" x14ac:dyDescent="0.2">
      <c r="B118" s="1" t="s">
        <v>1036</v>
      </c>
      <c r="M118" s="1" t="s">
        <v>1023</v>
      </c>
      <c r="W118" s="1" t="s">
        <v>2321</v>
      </c>
      <c r="AG118" s="1" t="s">
        <v>1028</v>
      </c>
      <c r="AQ118" s="1" t="s">
        <v>2322</v>
      </c>
      <c r="BA118" s="1" t="s">
        <v>1028</v>
      </c>
      <c r="BK118" s="1" t="s">
        <v>2320</v>
      </c>
      <c r="BU118" s="1" t="s">
        <v>1028</v>
      </c>
    </row>
    <row r="119" spans="2:73" x14ac:dyDescent="0.2">
      <c r="B119" s="1" t="s">
        <v>1037</v>
      </c>
      <c r="M119" s="1" t="s">
        <v>1025</v>
      </c>
      <c r="W119" s="1" t="s">
        <v>2322</v>
      </c>
      <c r="AG119" s="1" t="s">
        <v>1085</v>
      </c>
      <c r="AQ119" s="1" t="s">
        <v>2323</v>
      </c>
      <c r="BA119" s="1" t="s">
        <v>1085</v>
      </c>
      <c r="BK119" s="1" t="s">
        <v>2323</v>
      </c>
      <c r="BU119" s="1" t="s">
        <v>1085</v>
      </c>
    </row>
    <row r="120" spans="2:73" x14ac:dyDescent="0.2">
      <c r="B120" s="1" t="s">
        <v>1038</v>
      </c>
      <c r="M120" s="1" t="s">
        <v>1028</v>
      </c>
      <c r="W120" s="1" t="s">
        <v>1085</v>
      </c>
      <c r="AG120" s="1" t="s">
        <v>1030</v>
      </c>
      <c r="AQ120" s="1" t="s">
        <v>1030</v>
      </c>
      <c r="BA120" s="1" t="s">
        <v>1030</v>
      </c>
      <c r="BK120" s="1" t="s">
        <v>2322</v>
      </c>
      <c r="BU120" s="1" t="s">
        <v>1030</v>
      </c>
    </row>
    <row r="121" spans="2:73" x14ac:dyDescent="0.2">
      <c r="B121" s="1" t="s">
        <v>1039</v>
      </c>
      <c r="M121" s="1" t="s">
        <v>1029</v>
      </c>
      <c r="W121" s="1" t="s">
        <v>2323</v>
      </c>
      <c r="AG121" s="1" t="s">
        <v>1086</v>
      </c>
      <c r="AQ121" s="1" t="s">
        <v>1029</v>
      </c>
      <c r="BA121" s="1" t="s">
        <v>1086</v>
      </c>
      <c r="BK121" s="1" t="s">
        <v>2321</v>
      </c>
      <c r="BU121" s="1" t="s">
        <v>1086</v>
      </c>
    </row>
    <row r="122" spans="2:73" x14ac:dyDescent="0.2">
      <c r="B122" s="1" t="s">
        <v>1040</v>
      </c>
      <c r="M122" s="1" t="s">
        <v>1085</v>
      </c>
    </row>
    <row r="123" spans="2:73" x14ac:dyDescent="0.2">
      <c r="B123" s="1" t="s">
        <v>1041</v>
      </c>
      <c r="M123" s="1" t="s">
        <v>1086</v>
      </c>
      <c r="W123" s="2" t="s">
        <v>2641</v>
      </c>
      <c r="AG123" s="2" t="s">
        <v>2641</v>
      </c>
      <c r="AQ123" s="2" t="s">
        <v>2786</v>
      </c>
      <c r="BA123" s="2" t="s">
        <v>2786</v>
      </c>
      <c r="BK123" s="2" t="s">
        <v>3009</v>
      </c>
      <c r="BU123" s="2" t="s">
        <v>3009</v>
      </c>
    </row>
    <row r="124" spans="2:73" x14ac:dyDescent="0.2">
      <c r="W124" s="1" t="s">
        <v>1032</v>
      </c>
      <c r="AG124" s="1" t="s">
        <v>1032</v>
      </c>
      <c r="AQ124" s="1" t="s">
        <v>1032</v>
      </c>
      <c r="BA124" s="1" t="s">
        <v>1032</v>
      </c>
      <c r="BK124" s="1" t="s">
        <v>1032</v>
      </c>
      <c r="BU124" s="1" t="s">
        <v>1032</v>
      </c>
    </row>
    <row r="125" spans="2:73" x14ac:dyDescent="0.2">
      <c r="B125" s="1" t="s">
        <v>1042</v>
      </c>
      <c r="M125" s="2" t="s">
        <v>1087</v>
      </c>
      <c r="W125" s="1" t="s">
        <v>2324</v>
      </c>
      <c r="AG125" s="1" t="s">
        <v>1041</v>
      </c>
      <c r="AQ125" s="1" t="s">
        <v>2324</v>
      </c>
      <c r="BA125" s="1" t="s">
        <v>1041</v>
      </c>
      <c r="BK125" s="1" t="s">
        <v>2324</v>
      </c>
      <c r="BU125" s="1" t="s">
        <v>1088</v>
      </c>
    </row>
    <row r="126" spans="2:73" x14ac:dyDescent="0.2">
      <c r="B126" s="1" t="s">
        <v>1043</v>
      </c>
      <c r="M126" s="1" t="s">
        <v>1032</v>
      </c>
      <c r="W126" s="1" t="s">
        <v>1091</v>
      </c>
      <c r="AG126" s="1" t="s">
        <v>1088</v>
      </c>
      <c r="AQ126" s="1" t="s">
        <v>1091</v>
      </c>
      <c r="BA126" s="1" t="s">
        <v>1088</v>
      </c>
      <c r="BK126" s="1" t="s">
        <v>1091</v>
      </c>
      <c r="BU126" s="1" t="s">
        <v>1089</v>
      </c>
    </row>
    <row r="127" spans="2:73" x14ac:dyDescent="0.2">
      <c r="B127" s="1" t="s">
        <v>1044</v>
      </c>
      <c r="M127" s="1" t="s">
        <v>1041</v>
      </c>
      <c r="W127" s="1" t="s">
        <v>2325</v>
      </c>
      <c r="AG127" s="1" t="s">
        <v>1089</v>
      </c>
      <c r="AQ127" s="1" t="s">
        <v>2325</v>
      </c>
      <c r="BA127" s="1" t="s">
        <v>1089</v>
      </c>
      <c r="BK127" s="1" t="s">
        <v>2325</v>
      </c>
      <c r="BU127" s="1" t="s">
        <v>1090</v>
      </c>
    </row>
    <row r="128" spans="2:73" x14ac:dyDescent="0.2">
      <c r="B128" s="1" t="s">
        <v>1045</v>
      </c>
      <c r="M128" s="1" t="s">
        <v>1088</v>
      </c>
      <c r="W128" s="1" t="s">
        <v>1092</v>
      </c>
      <c r="AG128" s="1" t="s">
        <v>1090</v>
      </c>
      <c r="AQ128" s="1" t="s">
        <v>1092</v>
      </c>
      <c r="BA128" s="1" t="s">
        <v>1090</v>
      </c>
      <c r="BK128" s="1" t="s">
        <v>1092</v>
      </c>
      <c r="BU128" s="1" t="s">
        <v>1091</v>
      </c>
    </row>
    <row r="129" spans="2:73" x14ac:dyDescent="0.2">
      <c r="B129" s="1" t="s">
        <v>1046</v>
      </c>
      <c r="M129" s="1" t="s">
        <v>1089</v>
      </c>
      <c r="W129" s="1" t="s">
        <v>2326</v>
      </c>
      <c r="AG129" s="1" t="s">
        <v>1091</v>
      </c>
      <c r="AQ129" s="1" t="s">
        <v>2326</v>
      </c>
      <c r="BA129" s="1" t="s">
        <v>1091</v>
      </c>
      <c r="BK129" s="1" t="s">
        <v>2326</v>
      </c>
      <c r="BU129" s="1" t="s">
        <v>1092</v>
      </c>
    </row>
    <row r="130" spans="2:73" x14ac:dyDescent="0.2">
      <c r="B130" s="1" t="s">
        <v>1047</v>
      </c>
      <c r="M130" s="1" t="s">
        <v>1090</v>
      </c>
      <c r="W130" s="1" t="s">
        <v>1093</v>
      </c>
      <c r="AG130" s="1" t="s">
        <v>1092</v>
      </c>
      <c r="AQ130" s="1" t="s">
        <v>1093</v>
      </c>
      <c r="BA130" s="1" t="s">
        <v>1092</v>
      </c>
      <c r="BK130" s="1" t="s">
        <v>1093</v>
      </c>
      <c r="BU130" s="1" t="s">
        <v>1093</v>
      </c>
    </row>
    <row r="131" spans="2:73" x14ac:dyDescent="0.2">
      <c r="B131" s="1" t="s">
        <v>1048</v>
      </c>
      <c r="M131" s="1" t="s">
        <v>1091</v>
      </c>
      <c r="W131" s="1" t="s">
        <v>1041</v>
      </c>
      <c r="AG131" s="1" t="s">
        <v>1093</v>
      </c>
      <c r="AQ131" s="1" t="s">
        <v>1041</v>
      </c>
      <c r="BA131" s="1" t="s">
        <v>1093</v>
      </c>
      <c r="BK131" s="1" t="s">
        <v>1041</v>
      </c>
      <c r="BU131" s="1" t="s">
        <v>1040</v>
      </c>
    </row>
    <row r="132" spans="2:73" x14ac:dyDescent="0.2">
      <c r="B132" s="1" t="s">
        <v>1049</v>
      </c>
      <c r="M132" s="1" t="s">
        <v>1092</v>
      </c>
      <c r="W132" s="1" t="s">
        <v>1040</v>
      </c>
      <c r="AG132" s="1" t="s">
        <v>1040</v>
      </c>
      <c r="AQ132" s="1" t="s">
        <v>1040</v>
      </c>
      <c r="BA132" s="1" t="s">
        <v>1040</v>
      </c>
      <c r="BK132" s="1" t="s">
        <v>1040</v>
      </c>
      <c r="BU132" s="1" t="s">
        <v>1094</v>
      </c>
    </row>
    <row r="133" spans="2:73" x14ac:dyDescent="0.2">
      <c r="B133" s="1" t="s">
        <v>1050</v>
      </c>
      <c r="M133" s="1" t="s">
        <v>1093</v>
      </c>
      <c r="W133" s="1" t="s">
        <v>1039</v>
      </c>
      <c r="AG133" s="1" t="s">
        <v>1094</v>
      </c>
      <c r="AQ133" s="1" t="s">
        <v>1039</v>
      </c>
      <c r="BA133" s="1" t="s">
        <v>1094</v>
      </c>
      <c r="BK133" s="1" t="s">
        <v>1039</v>
      </c>
      <c r="BU133" s="1" t="s">
        <v>1041</v>
      </c>
    </row>
    <row r="134" spans="2:73" x14ac:dyDescent="0.2">
      <c r="B134" s="1" t="s">
        <v>1051</v>
      </c>
      <c r="M134" s="1" t="s">
        <v>1040</v>
      </c>
    </row>
    <row r="135" spans="2:73" x14ac:dyDescent="0.2">
      <c r="B135" s="1" t="s">
        <v>132</v>
      </c>
      <c r="M135" s="1" t="s">
        <v>1094</v>
      </c>
      <c r="W135" s="2" t="s">
        <v>2642</v>
      </c>
      <c r="AG135" s="1" t="s">
        <v>1042</v>
      </c>
      <c r="AQ135" s="2" t="s">
        <v>2787</v>
      </c>
      <c r="BA135" s="2" t="s">
        <v>2787</v>
      </c>
      <c r="BK135" s="2" t="s">
        <v>3010</v>
      </c>
      <c r="BU135" s="2" t="s">
        <v>3010</v>
      </c>
    </row>
    <row r="136" spans="2:73" x14ac:dyDescent="0.2">
      <c r="W136" s="1" t="s">
        <v>1042</v>
      </c>
      <c r="AG136" s="1" t="s">
        <v>1046</v>
      </c>
      <c r="AQ136" s="1" t="s">
        <v>1042</v>
      </c>
      <c r="BA136" s="1" t="s">
        <v>1042</v>
      </c>
      <c r="BK136" s="1" t="s">
        <v>1042</v>
      </c>
      <c r="BU136" s="1" t="s">
        <v>1042</v>
      </c>
    </row>
    <row r="137" spans="2:73" x14ac:dyDescent="0.2">
      <c r="M137" s="2" t="s">
        <v>1095</v>
      </c>
      <c r="W137" s="1" t="s">
        <v>2327</v>
      </c>
      <c r="AG137" s="1" t="s">
        <v>1097</v>
      </c>
      <c r="AQ137" s="1" t="s">
        <v>1047</v>
      </c>
      <c r="BA137" s="1" t="s">
        <v>1046</v>
      </c>
      <c r="BK137" s="1" t="s">
        <v>1050</v>
      </c>
      <c r="BU137" s="1" t="s">
        <v>1046</v>
      </c>
    </row>
    <row r="138" spans="2:73" x14ac:dyDescent="0.2">
      <c r="M138" s="1" t="s">
        <v>1042</v>
      </c>
      <c r="W138" s="1" t="s">
        <v>1097</v>
      </c>
      <c r="AG138" s="1" t="s">
        <v>1050</v>
      </c>
      <c r="AQ138" s="1" t="s">
        <v>2788</v>
      </c>
      <c r="BA138" s="1" t="s">
        <v>1097</v>
      </c>
      <c r="BK138" s="1" t="s">
        <v>1098</v>
      </c>
      <c r="BU138" s="1" t="s">
        <v>1097</v>
      </c>
    </row>
    <row r="139" spans="2:73" x14ac:dyDescent="0.2">
      <c r="M139" s="1" t="s">
        <v>1096</v>
      </c>
      <c r="W139" s="1" t="s">
        <v>2328</v>
      </c>
      <c r="AG139" s="1" t="s">
        <v>1049</v>
      </c>
      <c r="AQ139" s="1" t="s">
        <v>2643</v>
      </c>
      <c r="BA139" s="1" t="s">
        <v>1050</v>
      </c>
      <c r="BK139" s="1" t="s">
        <v>1099</v>
      </c>
      <c r="BU139" s="1" t="s">
        <v>1050</v>
      </c>
    </row>
    <row r="140" spans="2:73" x14ac:dyDescent="0.2">
      <c r="M140" s="1" t="s">
        <v>1097</v>
      </c>
      <c r="W140" s="1" t="s">
        <v>1098</v>
      </c>
      <c r="AG140" s="1" t="s">
        <v>1098</v>
      </c>
      <c r="AQ140" s="1" t="s">
        <v>2789</v>
      </c>
      <c r="BA140" s="1" t="s">
        <v>1049</v>
      </c>
      <c r="BK140" s="1" t="s">
        <v>1045</v>
      </c>
      <c r="BU140" s="1" t="s">
        <v>1049</v>
      </c>
    </row>
    <row r="141" spans="2:73" x14ac:dyDescent="0.2">
      <c r="M141" s="1" t="s">
        <v>1050</v>
      </c>
      <c r="W141" s="1" t="s">
        <v>1050</v>
      </c>
      <c r="AG141" s="1" t="s">
        <v>1048</v>
      </c>
      <c r="AQ141" s="1" t="s">
        <v>2790</v>
      </c>
      <c r="BA141" s="1" t="s">
        <v>1098</v>
      </c>
      <c r="BK141" s="1" t="s">
        <v>2643</v>
      </c>
      <c r="BU141" s="1" t="s">
        <v>1098</v>
      </c>
    </row>
    <row r="142" spans="2:73" x14ac:dyDescent="0.2">
      <c r="M142" s="1" t="s">
        <v>1049</v>
      </c>
      <c r="W142" s="1" t="s">
        <v>1099</v>
      </c>
      <c r="AG142" s="1" t="s">
        <v>1099</v>
      </c>
      <c r="AQ142" s="1" t="s">
        <v>1050</v>
      </c>
      <c r="BA142" s="1" t="s">
        <v>1048</v>
      </c>
      <c r="BK142" s="1" t="s">
        <v>2788</v>
      </c>
      <c r="BU142" s="1" t="s">
        <v>1048</v>
      </c>
    </row>
    <row r="143" spans="2:73" x14ac:dyDescent="0.2">
      <c r="M143" s="1" t="s">
        <v>1098</v>
      </c>
      <c r="W143" s="1" t="s">
        <v>2329</v>
      </c>
      <c r="AG143" s="1" t="s">
        <v>1100</v>
      </c>
      <c r="AQ143" s="1" t="s">
        <v>2329</v>
      </c>
      <c r="BA143" s="1" t="s">
        <v>1099</v>
      </c>
      <c r="BK143" s="1" t="s">
        <v>1043</v>
      </c>
      <c r="BU143" s="1" t="s">
        <v>1099</v>
      </c>
    </row>
    <row r="144" spans="2:73" x14ac:dyDescent="0.2">
      <c r="M144" s="1" t="s">
        <v>1048</v>
      </c>
      <c r="W144" s="1" t="s">
        <v>1045</v>
      </c>
      <c r="AG144" s="1" t="s">
        <v>1045</v>
      </c>
      <c r="AQ144" s="1" t="s">
        <v>1097</v>
      </c>
      <c r="BA144" s="1" t="s">
        <v>1100</v>
      </c>
      <c r="BK144" s="1" t="s">
        <v>1044</v>
      </c>
      <c r="BU144" s="1" t="s">
        <v>1100</v>
      </c>
    </row>
    <row r="145" spans="13:73" x14ac:dyDescent="0.2">
      <c r="M145" s="1" t="s">
        <v>1099</v>
      </c>
      <c r="W145" s="1" t="s">
        <v>2643</v>
      </c>
      <c r="AG145" s="1" t="s">
        <v>132</v>
      </c>
      <c r="AQ145" s="1" t="s">
        <v>2791</v>
      </c>
      <c r="BA145" s="1" t="s">
        <v>1045</v>
      </c>
      <c r="BK145" s="1" t="s">
        <v>1096</v>
      </c>
      <c r="BU145" s="1" t="s">
        <v>1045</v>
      </c>
    </row>
    <row r="146" spans="13:73" x14ac:dyDescent="0.2">
      <c r="M146" s="1" t="s">
        <v>1100</v>
      </c>
      <c r="W146" s="1" t="s">
        <v>132</v>
      </c>
      <c r="AQ146" s="1" t="s">
        <v>132</v>
      </c>
      <c r="BA146" s="1" t="s">
        <v>132</v>
      </c>
      <c r="BK146" s="1" t="s">
        <v>132</v>
      </c>
      <c r="BU146" s="1" t="s">
        <v>132</v>
      </c>
    </row>
    <row r="147" spans="13:73" x14ac:dyDescent="0.2">
      <c r="M147" s="1" t="s">
        <v>1045</v>
      </c>
    </row>
    <row r="148" spans="13:73" x14ac:dyDescent="0.2">
      <c r="M148" s="1" t="s">
        <v>132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C36D-57C7-2442-9C8B-D2D5C7F3F74F}">
  <dimension ref="B1:CB149"/>
  <sheetViews>
    <sheetView topLeftCell="BW1" workbookViewId="0">
      <selection activeCell="BZ23" sqref="BZ17:BZ23"/>
    </sheetView>
  </sheetViews>
  <sheetFormatPr baseColWidth="10" defaultRowHeight="16" x14ac:dyDescent="0.2"/>
  <cols>
    <col min="8" max="8" width="19.1640625" bestFit="1" customWidth="1"/>
    <col min="9" max="9" width="14.1640625" bestFit="1" customWidth="1"/>
    <col min="19" max="19" width="19.1640625" bestFit="1" customWidth="1"/>
    <col min="20" max="20" width="14.1640625" bestFit="1" customWidth="1"/>
    <col min="46" max="46" width="31" customWidth="1"/>
    <col min="47" max="47" width="17.83203125" customWidth="1"/>
  </cols>
  <sheetData>
    <row r="1" spans="2:80" x14ac:dyDescent="0.2">
      <c r="I1" t="s">
        <v>770</v>
      </c>
      <c r="J1">
        <v>0.03</v>
      </c>
      <c r="AQ1" s="20" t="s">
        <v>2648</v>
      </c>
      <c r="BI1" s="20" t="s">
        <v>2875</v>
      </c>
    </row>
    <row r="2" spans="2:80" x14ac:dyDescent="0.2">
      <c r="B2" s="1" t="s">
        <v>1101</v>
      </c>
      <c r="AQ2" s="1" t="s">
        <v>1101</v>
      </c>
      <c r="AY2" s="1" t="s">
        <v>2573</v>
      </c>
      <c r="BI2" s="1" t="s">
        <v>1101</v>
      </c>
      <c r="BS2" s="1" t="s">
        <v>3014</v>
      </c>
    </row>
    <row r="3" spans="2:80" x14ac:dyDescent="0.2">
      <c r="W3" s="1" t="s">
        <v>2552</v>
      </c>
      <c r="AD3" t="s">
        <v>471</v>
      </c>
      <c r="AE3" t="s">
        <v>661</v>
      </c>
      <c r="AF3" t="s">
        <v>180</v>
      </c>
      <c r="AG3" s="1" t="s">
        <v>2573</v>
      </c>
      <c r="AN3" t="s">
        <v>471</v>
      </c>
      <c r="AO3" t="s">
        <v>661</v>
      </c>
      <c r="AP3" t="s">
        <v>180</v>
      </c>
      <c r="AQ3" s="2" t="s">
        <v>2795</v>
      </c>
      <c r="AV3" t="s">
        <v>471</v>
      </c>
      <c r="AW3" t="s">
        <v>661</v>
      </c>
      <c r="AX3" t="s">
        <v>180</v>
      </c>
      <c r="AY3" s="2" t="s">
        <v>2561</v>
      </c>
      <c r="BF3" t="s">
        <v>471</v>
      </c>
      <c r="BG3" t="s">
        <v>661</v>
      </c>
      <c r="BH3" t="s">
        <v>180</v>
      </c>
      <c r="BI3" s="2" t="s">
        <v>2561</v>
      </c>
      <c r="BP3" t="s">
        <v>471</v>
      </c>
      <c r="BQ3" t="s">
        <v>661</v>
      </c>
      <c r="BR3" t="s">
        <v>180</v>
      </c>
      <c r="BS3" s="2" t="s">
        <v>2561</v>
      </c>
      <c r="BZ3" t="s">
        <v>471</v>
      </c>
      <c r="CA3" t="s">
        <v>661</v>
      </c>
      <c r="CB3" t="s">
        <v>180</v>
      </c>
    </row>
    <row r="4" spans="2:80" x14ac:dyDescent="0.2">
      <c r="B4" s="1" t="s">
        <v>1102</v>
      </c>
      <c r="I4" t="s">
        <v>471</v>
      </c>
      <c r="J4" t="s">
        <v>661</v>
      </c>
      <c r="K4" t="s">
        <v>180</v>
      </c>
      <c r="M4" s="1" t="s">
        <v>1222</v>
      </c>
      <c r="T4" t="s">
        <v>471</v>
      </c>
      <c r="U4" t="s">
        <v>661</v>
      </c>
      <c r="V4" t="s">
        <v>180</v>
      </c>
      <c r="W4" s="1" t="s">
        <v>2553</v>
      </c>
      <c r="AE4">
        <v>100</v>
      </c>
      <c r="AG4" s="1" t="s">
        <v>2553</v>
      </c>
      <c r="AO4">
        <v>100</v>
      </c>
      <c r="AQ4" s="1" t="s">
        <v>1102</v>
      </c>
      <c r="AW4">
        <v>100</v>
      </c>
      <c r="AY4" s="1" t="s">
        <v>1102</v>
      </c>
      <c r="BG4">
        <v>100</v>
      </c>
      <c r="BI4" s="1" t="s">
        <v>2553</v>
      </c>
      <c r="BQ4">
        <v>100</v>
      </c>
      <c r="BS4" s="1" t="s">
        <v>3015</v>
      </c>
      <c r="CA4">
        <v>100</v>
      </c>
    </row>
    <row r="5" spans="2:80" x14ac:dyDescent="0.2">
      <c r="B5" s="1" t="s">
        <v>1103</v>
      </c>
      <c r="J5">
        <v>100</v>
      </c>
      <c r="U5">
        <v>100</v>
      </c>
      <c r="W5" s="1" t="s">
        <v>2554</v>
      </c>
      <c r="AD5" s="19">
        <v>-7.3800000000000004E-2</v>
      </c>
      <c r="AE5">
        <f>(1+AD5)*AE4</f>
        <v>92.62</v>
      </c>
      <c r="AF5" s="5">
        <f>AD5</f>
        <v>-7.3800000000000004E-2</v>
      </c>
      <c r="AG5" s="1" t="s">
        <v>2574</v>
      </c>
      <c r="AN5" s="19">
        <v>-7.8100000000000003E-2</v>
      </c>
      <c r="AO5">
        <f>(1+AN5)*AO4</f>
        <v>92.19</v>
      </c>
      <c r="AP5" s="5">
        <f>AN5</f>
        <v>-7.8100000000000003E-2</v>
      </c>
      <c r="AQ5" s="1" t="s">
        <v>2338</v>
      </c>
      <c r="AV5" s="19">
        <v>-1.8499999999999999E-2</v>
      </c>
      <c r="AW5">
        <f>(1+AV5)*AW4</f>
        <v>98.15</v>
      </c>
      <c r="AX5" s="5">
        <f>AV5</f>
        <v>-1.8499999999999999E-2</v>
      </c>
      <c r="AY5" s="1" t="s">
        <v>1224</v>
      </c>
      <c r="BF5" s="19">
        <v>-2.1899999999999999E-2</v>
      </c>
      <c r="BG5">
        <f>(1+BF5)*BG4</f>
        <v>97.81</v>
      </c>
      <c r="BH5" s="5">
        <f>BF5</f>
        <v>-2.1899999999999999E-2</v>
      </c>
      <c r="BI5" s="1" t="s">
        <v>2554</v>
      </c>
      <c r="BP5" s="19">
        <v>-7.3800000000000004E-2</v>
      </c>
      <c r="BQ5">
        <f>(1+BP5)*BQ4</f>
        <v>92.62</v>
      </c>
      <c r="BR5" s="5">
        <f>BP5</f>
        <v>-7.3800000000000004E-2</v>
      </c>
      <c r="BS5" s="1" t="s">
        <v>2558</v>
      </c>
      <c r="BZ5" s="19">
        <v>-7.6899999999999996E-2</v>
      </c>
      <c r="CA5">
        <f>(1+BZ5)*CA4</f>
        <v>92.31</v>
      </c>
      <c r="CB5" s="5">
        <f>BZ5</f>
        <v>-7.6899999999999996E-2</v>
      </c>
    </row>
    <row r="6" spans="2:80" x14ac:dyDescent="0.2">
      <c r="B6" s="1" t="s">
        <v>1104</v>
      </c>
      <c r="I6" s="19">
        <v>-2.3E-2</v>
      </c>
      <c r="J6">
        <f>(1+I6)*J5</f>
        <v>97.7</v>
      </c>
      <c r="K6" s="5">
        <f>I6</f>
        <v>-2.3E-2</v>
      </c>
      <c r="M6" s="2" t="s">
        <v>1223</v>
      </c>
      <c r="T6" s="19">
        <v>-6.7500000000000004E-2</v>
      </c>
      <c r="U6">
        <f>(1+T6)*U5</f>
        <v>93.25</v>
      </c>
      <c r="V6" s="5">
        <f>T6</f>
        <v>-6.7500000000000004E-2</v>
      </c>
      <c r="W6" s="1" t="s">
        <v>1105</v>
      </c>
      <c r="AD6" s="19">
        <v>-6.1699999999999998E-2</v>
      </c>
      <c r="AE6">
        <f t="shared" ref="AE6:AE16" si="0">(1+AD6)*AE5</f>
        <v>86.905346000000009</v>
      </c>
      <c r="AF6" s="5">
        <f>AD6</f>
        <v>-6.1699999999999998E-2</v>
      </c>
      <c r="AG6" s="1" t="s">
        <v>2560</v>
      </c>
      <c r="AN6" s="19">
        <v>-6.2600000000000003E-2</v>
      </c>
      <c r="AO6">
        <f t="shared" ref="AO6:AO16" si="1">(1+AN6)*AO5</f>
        <v>86.418905999999993</v>
      </c>
      <c r="AP6" s="5">
        <f>AN6</f>
        <v>-6.2600000000000003E-2</v>
      </c>
      <c r="AQ6" s="1" t="s">
        <v>1110</v>
      </c>
      <c r="AV6" s="19">
        <v>-6.0900000000000003E-2</v>
      </c>
      <c r="AW6">
        <f t="shared" ref="AW6:AW16" si="2">(1+AV6)*AW5</f>
        <v>92.172665000000009</v>
      </c>
      <c r="AX6" s="5">
        <f>AV6</f>
        <v>-6.0900000000000003E-2</v>
      </c>
      <c r="AY6" s="1" t="s">
        <v>1110</v>
      </c>
      <c r="BF6" s="19">
        <v>-6.3399999999999998E-2</v>
      </c>
      <c r="BG6">
        <f t="shared" ref="BG6:BG16" si="3">(1+BF6)*BG5</f>
        <v>91.608846</v>
      </c>
      <c r="BH6" s="5">
        <f>BF6</f>
        <v>-6.3399999999999998E-2</v>
      </c>
      <c r="BI6" s="1" t="s">
        <v>1105</v>
      </c>
      <c r="BP6" s="19">
        <v>-6.0900000000000003E-2</v>
      </c>
      <c r="BQ6">
        <f t="shared" ref="BQ6:BQ16" si="4">(1+BP6)*BQ5</f>
        <v>86.979442000000006</v>
      </c>
      <c r="BR6" s="5">
        <f>BP6</f>
        <v>-6.0900000000000003E-2</v>
      </c>
      <c r="BS6" s="1" t="s">
        <v>2560</v>
      </c>
      <c r="BZ6" s="19">
        <v>-6.2600000000000003E-2</v>
      </c>
      <c r="CA6">
        <f t="shared" ref="CA6:CA16" si="5">(1+BZ6)*CA5</f>
        <v>86.531394000000006</v>
      </c>
      <c r="CB6" s="5">
        <f>BZ6</f>
        <v>-6.2600000000000003E-2</v>
      </c>
    </row>
    <row r="7" spans="2:80" x14ac:dyDescent="0.2">
      <c r="B7" s="1" t="s">
        <v>1105</v>
      </c>
      <c r="I7" s="19">
        <v>-6.1600000000000002E-2</v>
      </c>
      <c r="J7">
        <f t="shared" ref="J7:J17" si="6">(1+I7)*J6</f>
        <v>91.68168</v>
      </c>
      <c r="K7" s="5">
        <f>I7</f>
        <v>-6.1600000000000002E-2</v>
      </c>
      <c r="M7" s="1" t="s">
        <v>1102</v>
      </c>
      <c r="T7" s="19">
        <v>-6.2600000000000003E-2</v>
      </c>
      <c r="U7">
        <f t="shared" ref="U7:U17" si="7">(1+T7)*U6</f>
        <v>87.412549999999996</v>
      </c>
      <c r="V7" s="5">
        <f>T7</f>
        <v>-6.2600000000000003E-2</v>
      </c>
      <c r="W7" s="1" t="s">
        <v>2555</v>
      </c>
      <c r="AD7" s="19">
        <v>-9.2999999999999992E-3</v>
      </c>
      <c r="AE7">
        <f t="shared" si="0"/>
        <v>86.097126282200009</v>
      </c>
      <c r="AF7" s="5">
        <f>AD7</f>
        <v>-9.2999999999999992E-3</v>
      </c>
      <c r="AG7" s="1" t="s">
        <v>1106</v>
      </c>
      <c r="AN7" s="19">
        <v>-5.4999999999999997E-3</v>
      </c>
      <c r="AO7">
        <f t="shared" si="1"/>
        <v>85.943602017000003</v>
      </c>
      <c r="AP7" s="5">
        <f>AN12</f>
        <v>-4.53E-2</v>
      </c>
      <c r="AQ7" s="1" t="s">
        <v>2339</v>
      </c>
      <c r="AV7" s="19">
        <v>-1.0500000000000001E-2</v>
      </c>
      <c r="AW7">
        <f t="shared" si="2"/>
        <v>91.204852017500016</v>
      </c>
      <c r="AX7" s="5">
        <f>AV12</f>
        <v>-3.3000000000000002E-2</v>
      </c>
      <c r="AY7" s="1" t="s">
        <v>1109</v>
      </c>
      <c r="BF7" s="19">
        <v>-5.4999999999999997E-3</v>
      </c>
      <c r="BG7">
        <f t="shared" si="3"/>
        <v>91.104997347000008</v>
      </c>
      <c r="BH7" s="5">
        <f>BF12</f>
        <v>-4.53E-2</v>
      </c>
      <c r="BI7" s="1" t="s">
        <v>2556</v>
      </c>
      <c r="BP7" s="19">
        <v>-5.8999999999999999E-3</v>
      </c>
      <c r="BQ7">
        <f t="shared" si="4"/>
        <v>86.466263292200011</v>
      </c>
      <c r="BR7" s="5">
        <f>BP12</f>
        <v>-4.36E-2</v>
      </c>
      <c r="BS7" s="1" t="s">
        <v>1104</v>
      </c>
      <c r="BZ7" s="19">
        <v>-5.4999999999999997E-3</v>
      </c>
      <c r="CA7">
        <f t="shared" si="5"/>
        <v>86.055471333000014</v>
      </c>
      <c r="CB7" s="5">
        <f>BZ12</f>
        <v>-4.53E-2</v>
      </c>
    </row>
    <row r="8" spans="2:80" x14ac:dyDescent="0.2">
      <c r="B8" s="1" t="s">
        <v>1106</v>
      </c>
      <c r="I8" s="19">
        <v>-1.0200000000000001E-2</v>
      </c>
      <c r="J8">
        <f t="shared" si="6"/>
        <v>90.746526864000003</v>
      </c>
      <c r="K8" s="5">
        <f>I8</f>
        <v>-1.0200000000000001E-2</v>
      </c>
      <c r="M8" s="1" t="s">
        <v>1224</v>
      </c>
      <c r="T8" s="19">
        <v>-5.8999999999999999E-3</v>
      </c>
      <c r="U8">
        <f t="shared" si="7"/>
        <v>86.896815954999994</v>
      </c>
      <c r="V8" s="5">
        <f>T8</f>
        <v>-5.8999999999999999E-3</v>
      </c>
      <c r="W8" s="1" t="s">
        <v>2556</v>
      </c>
      <c r="AD8" s="19">
        <v>8.2000000000000007E-3</v>
      </c>
      <c r="AE8">
        <f t="shared" si="0"/>
        <v>86.803122717714047</v>
      </c>
      <c r="AF8" s="5">
        <f>AD12</f>
        <v>-5.2400000000000002E-2</v>
      </c>
      <c r="AG8" s="1" t="s">
        <v>1225</v>
      </c>
      <c r="AN8" s="19">
        <v>5.1000000000000004E-3</v>
      </c>
      <c r="AO8">
        <f t="shared" si="1"/>
        <v>86.381914387286713</v>
      </c>
      <c r="AP8" s="5">
        <f>AN7</f>
        <v>-5.4999999999999997E-3</v>
      </c>
      <c r="AQ8" s="1" t="s">
        <v>2340</v>
      </c>
      <c r="AV8" s="19">
        <v>1.2200000000000001E-2</v>
      </c>
      <c r="AW8">
        <f t="shared" si="2"/>
        <v>92.317551212113514</v>
      </c>
      <c r="AX8" s="5">
        <f>AV7</f>
        <v>-1.0500000000000001E-2</v>
      </c>
      <c r="AY8" s="1" t="s">
        <v>1105</v>
      </c>
      <c r="BF8" s="19">
        <v>5.1000000000000004E-3</v>
      </c>
      <c r="BG8">
        <f t="shared" si="3"/>
        <v>91.569632833469711</v>
      </c>
      <c r="BH8" s="5">
        <f>BF7</f>
        <v>-5.4999999999999997E-3</v>
      </c>
      <c r="BI8" s="1" t="s">
        <v>2557</v>
      </c>
      <c r="BP8" s="19">
        <v>1.35E-2</v>
      </c>
      <c r="BQ8">
        <f t="shared" si="4"/>
        <v>87.63355784664472</v>
      </c>
      <c r="BR8" s="5">
        <f>BP7</f>
        <v>-5.8999999999999999E-3</v>
      </c>
      <c r="BS8" s="1" t="s">
        <v>1106</v>
      </c>
      <c r="BZ8" s="19">
        <v>5.1000000000000004E-3</v>
      </c>
      <c r="CA8">
        <f t="shared" si="5"/>
        <v>86.49435423679833</v>
      </c>
      <c r="CB8" s="5">
        <f>BZ7</f>
        <v>-5.4999999999999997E-3</v>
      </c>
    </row>
    <row r="9" spans="2:80" x14ac:dyDescent="0.2">
      <c r="B9" s="1" t="s">
        <v>1107</v>
      </c>
      <c r="I9" s="19">
        <v>4.5999999999999999E-3</v>
      </c>
      <c r="J9">
        <f t="shared" si="6"/>
        <v>91.163960887574405</v>
      </c>
      <c r="K9" s="5">
        <f>I9</f>
        <v>4.5999999999999999E-3</v>
      </c>
      <c r="M9" s="1" t="s">
        <v>1104</v>
      </c>
      <c r="T9" s="19">
        <v>5.4000000000000003E-3</v>
      </c>
      <c r="U9">
        <f t="shared" si="7"/>
        <v>87.366058761157007</v>
      </c>
      <c r="V9" s="5">
        <f>T9</f>
        <v>5.4000000000000003E-3</v>
      </c>
      <c r="W9" s="1" t="s">
        <v>2557</v>
      </c>
      <c r="AD9" s="19">
        <v>5.3E-3</v>
      </c>
      <c r="AE9">
        <f t="shared" si="0"/>
        <v>87.263179268117938</v>
      </c>
      <c r="AF9" s="5">
        <f>AD13</f>
        <v>-1.4E-3</v>
      </c>
      <c r="AG9" s="1" t="s">
        <v>1226</v>
      </c>
      <c r="AN9" s="19">
        <v>8.2000000000000007E-3</v>
      </c>
      <c r="AO9">
        <f t="shared" si="1"/>
        <v>87.090246085262464</v>
      </c>
      <c r="AQ9" s="1" t="s">
        <v>1109</v>
      </c>
      <c r="AV9" s="19">
        <v>6.3E-3</v>
      </c>
      <c r="AW9">
        <f t="shared" si="2"/>
        <v>92.899151784749833</v>
      </c>
      <c r="AY9" s="1" t="s">
        <v>2341</v>
      </c>
      <c r="BF9" s="19">
        <v>8.2000000000000007E-3</v>
      </c>
      <c r="BG9">
        <f t="shared" si="3"/>
        <v>92.320503822704168</v>
      </c>
      <c r="BI9" s="1" t="s">
        <v>2560</v>
      </c>
      <c r="BP9" s="19">
        <v>1.2699999999999999E-2</v>
      </c>
      <c r="BQ9">
        <f t="shared" si="4"/>
        <v>88.746504031297107</v>
      </c>
      <c r="BS9" s="1" t="s">
        <v>1225</v>
      </c>
      <c r="BZ9" s="19">
        <v>8.2000000000000007E-3</v>
      </c>
      <c r="CA9">
        <f t="shared" si="5"/>
        <v>87.203607941540071</v>
      </c>
    </row>
    <row r="10" spans="2:80" x14ac:dyDescent="0.2">
      <c r="B10" s="1" t="s">
        <v>1108</v>
      </c>
      <c r="I10" s="19">
        <v>1.9800000000000002E-2</v>
      </c>
      <c r="J10">
        <f t="shared" si="6"/>
        <v>92.969007313148381</v>
      </c>
      <c r="K10" s="5">
        <f>I13</f>
        <v>-4.5400000000000003E-2</v>
      </c>
      <c r="M10" s="1" t="s">
        <v>1105</v>
      </c>
      <c r="T10" s="19">
        <v>8.2000000000000007E-3</v>
      </c>
      <c r="U10">
        <f t="shared" si="7"/>
        <v>88.082460442998496</v>
      </c>
      <c r="V10" s="5">
        <f>T13</f>
        <v>-5.0700000000000002E-2</v>
      </c>
      <c r="W10" s="1" t="s">
        <v>1103</v>
      </c>
      <c r="AD10" s="19">
        <v>1.8100000000000002E-2</v>
      </c>
      <c r="AE10">
        <f t="shared" si="0"/>
        <v>88.842642812870878</v>
      </c>
      <c r="AG10" s="1" t="s">
        <v>2557</v>
      </c>
      <c r="AN10" s="19">
        <v>1.47E-2</v>
      </c>
      <c r="AO10">
        <f t="shared" si="1"/>
        <v>88.370472702715816</v>
      </c>
      <c r="AQ10" s="1" t="s">
        <v>1107</v>
      </c>
      <c r="AV10" s="19">
        <v>0.03</v>
      </c>
      <c r="AW10">
        <f t="shared" si="2"/>
        <v>95.686126338292325</v>
      </c>
      <c r="AY10" s="1" t="s">
        <v>1104</v>
      </c>
      <c r="BF10" s="19">
        <v>1.52E-2</v>
      </c>
      <c r="BG10">
        <f t="shared" si="3"/>
        <v>93.72377548080928</v>
      </c>
      <c r="BI10" s="1" t="s">
        <v>2555</v>
      </c>
      <c r="BP10" s="19">
        <v>1.3899999999999999E-2</v>
      </c>
      <c r="BQ10">
        <f t="shared" si="4"/>
        <v>89.980080437332134</v>
      </c>
      <c r="BS10" s="1" t="s">
        <v>1226</v>
      </c>
      <c r="BZ10" s="19">
        <v>1.52E-2</v>
      </c>
      <c r="CA10">
        <f t="shared" si="5"/>
        <v>88.529102782251485</v>
      </c>
    </row>
    <row r="11" spans="2:80" x14ac:dyDescent="0.2">
      <c r="B11" s="1" t="s">
        <v>1109</v>
      </c>
      <c r="I11" s="19">
        <v>2.01E-2</v>
      </c>
      <c r="J11">
        <f t="shared" si="6"/>
        <v>94.83768436014266</v>
      </c>
      <c r="K11" s="5">
        <f>I16</f>
        <v>-4.2299999999999997E-2</v>
      </c>
      <c r="M11" s="1" t="s">
        <v>1106</v>
      </c>
      <c r="T11" s="19">
        <v>1.52E-2</v>
      </c>
      <c r="U11">
        <f t="shared" si="7"/>
        <v>89.421313841732086</v>
      </c>
      <c r="V11" s="5">
        <f>T16</f>
        <v>-5.4600000000000003E-2</v>
      </c>
      <c r="W11" s="1" t="s">
        <v>2558</v>
      </c>
      <c r="AD11" s="19">
        <v>3.1399999999999997E-2</v>
      </c>
      <c r="AE11">
        <f t="shared" si="0"/>
        <v>91.632301797195026</v>
      </c>
      <c r="AG11" s="1" t="s">
        <v>1111</v>
      </c>
      <c r="AN11" s="19">
        <v>2.0400000000000001E-2</v>
      </c>
      <c r="AO11">
        <f t="shared" si="1"/>
        <v>90.173230345851209</v>
      </c>
      <c r="AQ11" s="1" t="s">
        <v>1105</v>
      </c>
      <c r="AV11" s="19">
        <v>3.1399999999999997E-2</v>
      </c>
      <c r="AW11">
        <f t="shared" si="2"/>
        <v>98.690670705314716</v>
      </c>
      <c r="AY11" s="1" t="s">
        <v>1106</v>
      </c>
      <c r="BF11" s="19">
        <v>1.84E-2</v>
      </c>
      <c r="BG11">
        <f t="shared" si="3"/>
        <v>95.448292949656164</v>
      </c>
      <c r="BI11" s="1" t="s">
        <v>1103</v>
      </c>
      <c r="BP11" s="19">
        <v>3.04E-2</v>
      </c>
      <c r="BQ11">
        <f t="shared" si="4"/>
        <v>92.715474882627035</v>
      </c>
      <c r="BS11" s="1" t="s">
        <v>2557</v>
      </c>
      <c r="BZ11" s="19">
        <v>2.0400000000000001E-2</v>
      </c>
      <c r="CA11">
        <f t="shared" si="5"/>
        <v>90.335096479009408</v>
      </c>
    </row>
    <row r="12" spans="2:80" x14ac:dyDescent="0.2">
      <c r="B12" s="1" t="s">
        <v>1110</v>
      </c>
      <c r="I12" s="19">
        <v>1.49E-2</v>
      </c>
      <c r="J12">
        <f t="shared" si="6"/>
        <v>96.250765857108775</v>
      </c>
      <c r="M12" s="1" t="s">
        <v>1107</v>
      </c>
      <c r="T12" s="19">
        <v>2.0400000000000001E-2</v>
      </c>
      <c r="U12">
        <f t="shared" si="7"/>
        <v>91.245508644103424</v>
      </c>
      <c r="W12" s="1" t="s">
        <v>2559</v>
      </c>
      <c r="AD12" s="19">
        <v>-5.2400000000000002E-2</v>
      </c>
      <c r="AE12">
        <f t="shared" si="0"/>
        <v>86.830769183022014</v>
      </c>
      <c r="AG12" s="1" t="s">
        <v>1103</v>
      </c>
      <c r="AN12" s="19">
        <v>-4.53E-2</v>
      </c>
      <c r="AO12">
        <f t="shared" si="1"/>
        <v>86.088383011184149</v>
      </c>
      <c r="AQ12" s="1" t="s">
        <v>2341</v>
      </c>
      <c r="AV12" s="19">
        <v>-3.3000000000000002E-2</v>
      </c>
      <c r="AW12">
        <f t="shared" si="2"/>
        <v>95.433878572039333</v>
      </c>
      <c r="AY12" s="1" t="s">
        <v>1108</v>
      </c>
      <c r="BF12" s="19">
        <v>-4.53E-2</v>
      </c>
      <c r="BG12">
        <f t="shared" si="3"/>
        <v>91.124485279036733</v>
      </c>
      <c r="BI12" s="1" t="s">
        <v>2559</v>
      </c>
      <c r="BP12" s="19">
        <v>-4.36E-2</v>
      </c>
      <c r="BQ12">
        <f t="shared" si="4"/>
        <v>88.673080177744495</v>
      </c>
      <c r="BS12" s="1" t="s">
        <v>1111</v>
      </c>
      <c r="BZ12" s="19">
        <v>-4.53E-2</v>
      </c>
      <c r="CA12">
        <f t="shared" si="5"/>
        <v>86.242916608510285</v>
      </c>
    </row>
    <row r="13" spans="2:80" x14ac:dyDescent="0.2">
      <c r="B13" s="1" t="s">
        <v>1111</v>
      </c>
      <c r="I13" s="19">
        <v>-4.5400000000000003E-2</v>
      </c>
      <c r="J13">
        <f t="shared" si="6"/>
        <v>91.880981087196034</v>
      </c>
      <c r="M13" s="1" t="s">
        <v>1108</v>
      </c>
      <c r="T13" s="19">
        <v>-5.0700000000000002E-2</v>
      </c>
      <c r="U13">
        <f t="shared" si="7"/>
        <v>86.619361355847388</v>
      </c>
      <c r="W13" s="1" t="s">
        <v>2560</v>
      </c>
      <c r="AD13" s="19">
        <v>-1.4E-3</v>
      </c>
      <c r="AE13">
        <f t="shared" si="0"/>
        <v>86.70920610616578</v>
      </c>
      <c r="AG13" s="1" t="s">
        <v>2558</v>
      </c>
      <c r="AN13" s="19">
        <v>3.6400000000000002E-2</v>
      </c>
      <c r="AO13">
        <f t="shared" si="1"/>
        <v>89.222000152791253</v>
      </c>
      <c r="AQ13" s="1" t="s">
        <v>1104</v>
      </c>
      <c r="AV13" s="19">
        <v>1.0800000000000001E-2</v>
      </c>
      <c r="AW13">
        <f t="shared" si="2"/>
        <v>96.464564460617353</v>
      </c>
      <c r="AY13" s="1" t="s">
        <v>1225</v>
      </c>
      <c r="BF13" s="19">
        <v>3.6400000000000002E-2</v>
      </c>
      <c r="BG13">
        <f t="shared" si="3"/>
        <v>94.441416543193668</v>
      </c>
      <c r="BI13" s="1" t="s">
        <v>2558</v>
      </c>
      <c r="BP13" s="19">
        <v>-1.18E-2</v>
      </c>
      <c r="BQ13">
        <f t="shared" si="4"/>
        <v>87.626737831647105</v>
      </c>
      <c r="BS13" s="1" t="s">
        <v>2553</v>
      </c>
      <c r="BZ13" s="19">
        <v>3.6400000000000002E-2</v>
      </c>
      <c r="CA13">
        <f t="shared" si="5"/>
        <v>89.382158773060056</v>
      </c>
    </row>
    <row r="14" spans="2:80" x14ac:dyDescent="0.2">
      <c r="I14" s="19">
        <v>1.14E-2</v>
      </c>
      <c r="J14">
        <f t="shared" si="6"/>
        <v>92.928424271590075</v>
      </c>
      <c r="M14" s="1" t="s">
        <v>1109</v>
      </c>
      <c r="T14" s="19">
        <v>3.6400000000000002E-2</v>
      </c>
      <c r="U14">
        <f t="shared" si="7"/>
        <v>89.77230610920023</v>
      </c>
      <c r="AD14" s="19">
        <v>2.7900000000000001E-2</v>
      </c>
      <c r="AE14">
        <f t="shared" si="0"/>
        <v>89.128392956527804</v>
      </c>
      <c r="AN14" s="19">
        <v>1.7899999999999999E-2</v>
      </c>
      <c r="AO14">
        <f t="shared" si="1"/>
        <v>90.819073955526221</v>
      </c>
      <c r="AV14" s="19">
        <v>2.7799999999999998E-2</v>
      </c>
      <c r="AW14">
        <f t="shared" si="2"/>
        <v>99.146279352622514</v>
      </c>
      <c r="BF14" s="19">
        <v>1.7899999999999999E-2</v>
      </c>
      <c r="BG14">
        <f t="shared" si="3"/>
        <v>96.131917899316832</v>
      </c>
      <c r="BP14" s="19">
        <v>3.27E-2</v>
      </c>
      <c r="BQ14">
        <f t="shared" si="4"/>
        <v>90.492132158741967</v>
      </c>
      <c r="BZ14" s="19">
        <v>1.7899999999999999E-2</v>
      </c>
      <c r="CA14">
        <f t="shared" si="5"/>
        <v>90.982099415097835</v>
      </c>
    </row>
    <row r="15" spans="2:80" x14ac:dyDescent="0.2">
      <c r="B15" s="1" t="s">
        <v>1112</v>
      </c>
      <c r="I15" s="19">
        <v>3.0099999999999998E-2</v>
      </c>
      <c r="J15">
        <f t="shared" si="6"/>
        <v>95.725569842164944</v>
      </c>
      <c r="M15" s="1" t="s">
        <v>1225</v>
      </c>
      <c r="T15" s="19">
        <v>3.0700000000000002E-2</v>
      </c>
      <c r="U15">
        <f t="shared" si="7"/>
        <v>92.528315906752667</v>
      </c>
      <c r="W15" s="2" t="s">
        <v>2561</v>
      </c>
      <c r="AD15" s="19">
        <v>1.1000000000000001E-3</v>
      </c>
      <c r="AE15">
        <f t="shared" si="0"/>
        <v>89.22643418877999</v>
      </c>
      <c r="AG15" s="1" t="s">
        <v>1112</v>
      </c>
      <c r="AN15" s="19">
        <v>6.1999999999999998E-3</v>
      </c>
      <c r="AO15">
        <f t="shared" si="1"/>
        <v>91.382152214050478</v>
      </c>
      <c r="AQ15" s="2" t="s">
        <v>2796</v>
      </c>
      <c r="AV15" s="19">
        <v>2E-3</v>
      </c>
      <c r="AW15">
        <f t="shared" si="2"/>
        <v>99.344571911327762</v>
      </c>
      <c r="AY15" s="2" t="s">
        <v>2562</v>
      </c>
      <c r="BF15" s="19">
        <v>6.1999999999999998E-3</v>
      </c>
      <c r="BG15">
        <f t="shared" si="3"/>
        <v>96.727935790292591</v>
      </c>
      <c r="BI15" s="2" t="s">
        <v>2562</v>
      </c>
      <c r="BP15" s="19">
        <v>5.0000000000000001E-4</v>
      </c>
      <c r="BQ15">
        <f t="shared" si="4"/>
        <v>90.537378224821339</v>
      </c>
      <c r="BS15" s="2" t="s">
        <v>2562</v>
      </c>
      <c r="BZ15" s="19">
        <v>6.1999999999999998E-3</v>
      </c>
      <c r="CA15">
        <f t="shared" si="5"/>
        <v>91.546188431471435</v>
      </c>
    </row>
    <row r="16" spans="2:80" x14ac:dyDescent="0.2">
      <c r="B16" s="1" t="s">
        <v>1113</v>
      </c>
      <c r="I16" s="19">
        <v>-4.2299999999999997E-2</v>
      </c>
      <c r="J16">
        <f t="shared" si="6"/>
        <v>91.676378237841362</v>
      </c>
      <c r="M16" s="1" t="s">
        <v>1226</v>
      </c>
      <c r="T16" s="19">
        <v>-5.4600000000000003E-2</v>
      </c>
      <c r="U16">
        <f t="shared" si="7"/>
        <v>87.476269858243967</v>
      </c>
      <c r="W16" s="1" t="s">
        <v>1112</v>
      </c>
      <c r="AD16" s="19">
        <v>6.5000000000000002E-2</v>
      </c>
      <c r="AE16">
        <f t="shared" si="0"/>
        <v>95.026152411050688</v>
      </c>
      <c r="AG16" s="1" t="s">
        <v>2370</v>
      </c>
      <c r="AN16" s="19">
        <v>5.0599999999999999E-2</v>
      </c>
      <c r="AO16">
        <f t="shared" si="1"/>
        <v>96.006089116081426</v>
      </c>
      <c r="AQ16" s="1" t="s">
        <v>1112</v>
      </c>
      <c r="AV16" s="19">
        <v>6.5000000000000002E-2</v>
      </c>
      <c r="AW16">
        <f t="shared" si="2"/>
        <v>105.80196908556407</v>
      </c>
      <c r="AY16" s="1" t="s">
        <v>1112</v>
      </c>
      <c r="BF16" s="19">
        <v>5.0599999999999999E-2</v>
      </c>
      <c r="BG16">
        <f t="shared" si="3"/>
        <v>101.6223693412814</v>
      </c>
      <c r="BI16" s="1" t="s">
        <v>1112</v>
      </c>
      <c r="BP16" s="19">
        <v>6.5000000000000002E-2</v>
      </c>
      <c r="BQ16">
        <f t="shared" si="4"/>
        <v>96.422307809434727</v>
      </c>
      <c r="BS16" s="1" t="s">
        <v>1112</v>
      </c>
      <c r="BZ16" s="19">
        <v>5.0599999999999999E-2</v>
      </c>
      <c r="CA16">
        <f t="shared" si="5"/>
        <v>96.178425566103883</v>
      </c>
    </row>
    <row r="17" spans="2:78" x14ac:dyDescent="0.2">
      <c r="B17" s="1" t="s">
        <v>1114</v>
      </c>
      <c r="I17" s="19">
        <v>5.3699999999999998E-2</v>
      </c>
      <c r="J17">
        <f t="shared" si="6"/>
        <v>96.599399749213447</v>
      </c>
      <c r="T17" s="19">
        <v>5.57E-2</v>
      </c>
      <c r="U17">
        <f t="shared" si="7"/>
        <v>92.348698089348161</v>
      </c>
      <c r="W17" s="1" t="s">
        <v>1230</v>
      </c>
      <c r="AC17" s="8" t="s">
        <v>173</v>
      </c>
      <c r="AD17" s="5">
        <f>AE16/100 - 1</f>
        <v>-4.9738475889493095E-2</v>
      </c>
      <c r="AG17" s="1" t="s">
        <v>2371</v>
      </c>
      <c r="AM17" s="8" t="s">
        <v>173</v>
      </c>
      <c r="AN17" s="5">
        <f>AO16/100 - 1</f>
        <v>-3.9939108839185722E-2</v>
      </c>
      <c r="AQ17" s="1" t="s">
        <v>1230</v>
      </c>
      <c r="AU17" s="8" t="s">
        <v>173</v>
      </c>
      <c r="AV17" s="5">
        <f>AW16/100 - 1</f>
        <v>5.8019690855640738E-2</v>
      </c>
      <c r="AY17" s="1" t="s">
        <v>2370</v>
      </c>
      <c r="BE17" s="8" t="s">
        <v>173</v>
      </c>
      <c r="BF17" s="5">
        <f>BG16/100 - 1</f>
        <v>1.6223693412813933E-2</v>
      </c>
      <c r="BI17" s="1" t="s">
        <v>1230</v>
      </c>
      <c r="BO17" s="8" t="s">
        <v>173</v>
      </c>
      <c r="BP17" s="5">
        <f>BQ16/100 - 1</f>
        <v>-3.5776921905652737E-2</v>
      </c>
      <c r="BS17" s="1" t="s">
        <v>2370</v>
      </c>
      <c r="BY17" s="8" t="s">
        <v>173</v>
      </c>
      <c r="BZ17" s="5">
        <f>CA16/100 - 1</f>
        <v>-3.8215744338961133E-2</v>
      </c>
    </row>
    <row r="18" spans="2:78" x14ac:dyDescent="0.2">
      <c r="B18" s="1" t="s">
        <v>1115</v>
      </c>
      <c r="H18" s="8" t="s">
        <v>173</v>
      </c>
      <c r="I18" s="5">
        <f>J17/100 - 1</f>
        <v>-3.4006002507865563E-2</v>
      </c>
      <c r="M18" s="2" t="s">
        <v>1227</v>
      </c>
      <c r="S18" s="8" t="s">
        <v>173</v>
      </c>
      <c r="T18" s="5">
        <f>U17/100 - 1</f>
        <v>-7.6513019106518421E-2</v>
      </c>
      <c r="W18" s="1" t="s">
        <v>1113</v>
      </c>
      <c r="AC18" s="9" t="s">
        <v>181</v>
      </c>
      <c r="AD18" s="5">
        <f>_xlfn.STDEV.S(AD5:AD16)*12^0.5</f>
        <v>0.14151201683634823</v>
      </c>
      <c r="AG18" s="1" t="s">
        <v>1114</v>
      </c>
      <c r="AM18" s="9" t="s">
        <v>181</v>
      </c>
      <c r="AN18" s="5">
        <f>_xlfn.STDEV.S(AN5:AN16)*12^0.5</f>
        <v>0.13612179038707145</v>
      </c>
      <c r="AQ18" s="1" t="s">
        <v>1113</v>
      </c>
      <c r="AU18" s="9" t="s">
        <v>181</v>
      </c>
      <c r="AV18" s="5">
        <f>_xlfn.STDEV.S(AV5:AV16)*12^0.5</f>
        <v>0.11497058912450768</v>
      </c>
      <c r="AY18" s="1" t="s">
        <v>2371</v>
      </c>
      <c r="BE18" s="9" t="s">
        <v>181</v>
      </c>
      <c r="BF18" s="5">
        <f>_xlfn.STDEV.S(BF5:BF16)*12^0.5</f>
        <v>0.11175571980480868</v>
      </c>
      <c r="BI18" s="1" t="s">
        <v>1113</v>
      </c>
      <c r="BO18" s="9" t="s">
        <v>181</v>
      </c>
      <c r="BP18" s="5">
        <f>_xlfn.STDEV.S(BP5:BP16)*12^0.5</f>
        <v>0.13983211687266595</v>
      </c>
      <c r="BS18" s="1" t="s">
        <v>2371</v>
      </c>
      <c r="BY18" s="9" t="s">
        <v>181</v>
      </c>
      <c r="BZ18" s="5">
        <f>_xlfn.STDEV.S(BZ5:BZ16)*12^0.5</f>
        <v>0.13547018122081331</v>
      </c>
    </row>
    <row r="19" spans="2:78" x14ac:dyDescent="0.2">
      <c r="B19" s="1" t="s">
        <v>1116</v>
      </c>
      <c r="H19" s="9" t="s">
        <v>181</v>
      </c>
      <c r="I19" s="5">
        <f>_xlfn.STDEV.S(I6:I17)*12^0.5</f>
        <v>0.11987294410029614</v>
      </c>
      <c r="M19" s="1" t="s">
        <v>1112</v>
      </c>
      <c r="S19" s="9" t="s">
        <v>181</v>
      </c>
      <c r="T19" s="5">
        <f>_xlfn.STDEV.S(T6:T17)*12^0.5</f>
        <v>0.14687583810205757</v>
      </c>
      <c r="W19" s="1" t="s">
        <v>1115</v>
      </c>
      <c r="AC19" s="4" t="s">
        <v>171</v>
      </c>
      <c r="AD19" s="7">
        <f>(AD17-J1)/AD18</f>
        <v>-0.56347494489960359</v>
      </c>
      <c r="AG19" s="1" t="s">
        <v>1115</v>
      </c>
      <c r="AM19" s="4" t="s">
        <v>171</v>
      </c>
      <c r="AN19" s="7">
        <f>(AN17-J1)/AN18</f>
        <v>-0.5137980380680357</v>
      </c>
      <c r="AQ19" s="1" t="s">
        <v>1115</v>
      </c>
      <c r="AU19" s="4" t="s">
        <v>171</v>
      </c>
      <c r="AV19" s="7">
        <f>(AV17-J1)/AV18</f>
        <v>0.2437118142040374</v>
      </c>
      <c r="AY19" s="1" t="s">
        <v>1114</v>
      </c>
      <c r="BE19" s="4" t="s">
        <v>171</v>
      </c>
      <c r="BF19" s="7">
        <f>(BF17-J1)/BF18</f>
        <v>-0.12327160176899771</v>
      </c>
      <c r="BI19" s="1" t="s">
        <v>1115</v>
      </c>
      <c r="BO19" s="4" t="s">
        <v>171</v>
      </c>
      <c r="BP19" s="7">
        <f>(BP17-J1)/BP18</f>
        <v>-0.47039924286886525</v>
      </c>
      <c r="BS19" s="1" t="s">
        <v>1114</v>
      </c>
      <c r="BY19" s="4" t="s">
        <v>171</v>
      </c>
      <c r="BZ19" s="7">
        <f>(BZ17-J1)/BZ18</f>
        <v>-0.5035480407881866</v>
      </c>
    </row>
    <row r="20" spans="2:78" x14ac:dyDescent="0.2">
      <c r="B20" s="1" t="s">
        <v>1117</v>
      </c>
      <c r="H20" s="4" t="s">
        <v>171</v>
      </c>
      <c r="I20" s="7">
        <f>(I18-J1)/I19</f>
        <v>-0.53394869866808781</v>
      </c>
      <c r="M20" s="1" t="s">
        <v>1228</v>
      </c>
      <c r="S20" s="4" t="s">
        <v>171</v>
      </c>
      <c r="T20" s="7">
        <f>(T18-J1)/T19</f>
        <v>-0.72519088560030687</v>
      </c>
      <c r="W20" s="1" t="s">
        <v>1116</v>
      </c>
      <c r="AC20" s="8" t="s">
        <v>178</v>
      </c>
      <c r="AD20" s="5">
        <f>_xlfn.STDEV.S(AF5:AF9)*12^0.5</f>
        <v>0.11223833569685535</v>
      </c>
      <c r="AG20" s="1" t="s">
        <v>1116</v>
      </c>
      <c r="AM20" s="8" t="s">
        <v>178</v>
      </c>
      <c r="AN20" s="5">
        <f>_xlfn.STDEV.S(AP5:AP8)*12^0.5</f>
        <v>0.10830784828441566</v>
      </c>
      <c r="AQ20" s="1" t="s">
        <v>1116</v>
      </c>
      <c r="AU20" s="8" t="s">
        <v>178</v>
      </c>
      <c r="AV20" s="5">
        <f>_xlfn.STDEV.S(AX5:AX8)*12^0.5</f>
        <v>7.6790819763823348E-2</v>
      </c>
      <c r="AY20" s="1" t="s">
        <v>1115</v>
      </c>
      <c r="BE20" s="8" t="s">
        <v>178</v>
      </c>
      <c r="BF20" s="5">
        <f>_xlfn.STDEV.S(BH5:BH8)*12^0.5</f>
        <v>8.833362893032301E-2</v>
      </c>
      <c r="BI20" s="1" t="s">
        <v>1116</v>
      </c>
      <c r="BO20" s="8" t="s">
        <v>178</v>
      </c>
      <c r="BP20" s="5">
        <f>_xlfn.STDEV.S(BR5:BR8)*12^0.5</f>
        <v>0.10214910670191882</v>
      </c>
      <c r="BS20" s="1" t="s">
        <v>1115</v>
      </c>
      <c r="BY20" s="8" t="s">
        <v>178</v>
      </c>
      <c r="BZ20" s="5">
        <f>_xlfn.STDEV.S(CB5:CB8)*12^0.5</f>
        <v>0.10698013834352611</v>
      </c>
    </row>
    <row r="21" spans="2:78" x14ac:dyDescent="0.2">
      <c r="B21" s="1" t="s">
        <v>1118</v>
      </c>
      <c r="H21" s="8" t="s">
        <v>178</v>
      </c>
      <c r="I21" s="5">
        <f>_xlfn.STDEV.S(K6:K11)*12^0.5</f>
        <v>8.5198239418429314E-2</v>
      </c>
      <c r="M21" s="1" t="s">
        <v>1229</v>
      </c>
      <c r="S21" s="8" t="s">
        <v>178</v>
      </c>
      <c r="T21" s="5">
        <f>_xlfn.STDEV.S(V6:V11)*12^0.5</f>
        <v>0.10750808341701568</v>
      </c>
      <c r="W21" s="1" t="s">
        <v>1117</v>
      </c>
      <c r="AC21" s="8" t="s">
        <v>177</v>
      </c>
      <c r="AD21" s="7">
        <f>(AD17-J1)/AD20</f>
        <v>-0.7104388656016678</v>
      </c>
      <c r="AG21" s="1" t="s">
        <v>1117</v>
      </c>
      <c r="AM21" s="8" t="s">
        <v>177</v>
      </c>
      <c r="AN21" s="7">
        <f>(AN17-J1)/AN20</f>
        <v>-0.64574368290953499</v>
      </c>
      <c r="AQ21" s="1" t="s">
        <v>1117</v>
      </c>
      <c r="AU21" s="8" t="s">
        <v>177</v>
      </c>
      <c r="AV21" s="7">
        <f>(AV17-J1)/AV20</f>
        <v>0.36488334076674356</v>
      </c>
      <c r="AY21" s="1" t="s">
        <v>1116</v>
      </c>
      <c r="BE21" s="8" t="s">
        <v>177</v>
      </c>
      <c r="BF21" s="7">
        <f>(BF17-J1)/BF20</f>
        <v>-0.1559576658856926</v>
      </c>
      <c r="BI21" s="1" t="s">
        <v>1117</v>
      </c>
      <c r="BO21" s="8" t="s">
        <v>177</v>
      </c>
      <c r="BP21" s="7">
        <f>(BP17-J1)/BP20</f>
        <v>-0.64393046625063777</v>
      </c>
      <c r="BS21" s="1" t="s">
        <v>1116</v>
      </c>
      <c r="BY21" s="8" t="s">
        <v>177</v>
      </c>
      <c r="BZ21" s="7">
        <f>(BZ17-J1)/BZ20</f>
        <v>-0.63764868315941192</v>
      </c>
    </row>
    <row r="22" spans="2:78" x14ac:dyDescent="0.2">
      <c r="B22" s="1" t="s">
        <v>1119</v>
      </c>
      <c r="H22" s="8" t="s">
        <v>177</v>
      </c>
      <c r="I22" s="7">
        <f>(I18-J1)/I21</f>
        <v>-0.75125968499790807</v>
      </c>
      <c r="M22" s="1" t="s">
        <v>1114</v>
      </c>
      <c r="S22" s="8" t="s">
        <v>177</v>
      </c>
      <c r="T22" s="7">
        <f>(T18-J1)/T21</f>
        <v>-0.99074428378899215</v>
      </c>
      <c r="W22" s="1" t="s">
        <v>1118</v>
      </c>
      <c r="AC22" s="6" t="s">
        <v>179</v>
      </c>
      <c r="AD22" s="5">
        <f>SUM(AD5:AD7)</f>
        <v>-0.14480000000000001</v>
      </c>
      <c r="AG22" s="1" t="s">
        <v>1118</v>
      </c>
      <c r="AM22" s="6" t="s">
        <v>179</v>
      </c>
      <c r="AN22" s="5">
        <f>SUM(AN5:AN7)</f>
        <v>-0.1462</v>
      </c>
      <c r="AQ22" s="1" t="s">
        <v>1118</v>
      </c>
      <c r="AU22" s="6" t="s">
        <v>179</v>
      </c>
      <c r="AV22" s="5">
        <f>SUM(AV5:AV7)</f>
        <v>-8.9899999999999994E-2</v>
      </c>
      <c r="AY22" s="1" t="s">
        <v>1117</v>
      </c>
      <c r="BE22" s="6" t="s">
        <v>179</v>
      </c>
      <c r="BF22" s="5">
        <f>SUM(BF5:BF7)</f>
        <v>-9.0800000000000006E-2</v>
      </c>
      <c r="BI22" s="1" t="s">
        <v>1118</v>
      </c>
      <c r="BO22" s="6" t="s">
        <v>179</v>
      </c>
      <c r="BP22" s="5">
        <f>SUM(BP5:BP7)</f>
        <v>-0.1406</v>
      </c>
      <c r="BS22" s="1" t="s">
        <v>1117</v>
      </c>
      <c r="BY22" s="6" t="s">
        <v>179</v>
      </c>
      <c r="BZ22" s="5">
        <f>SUM(BZ5:BZ7)</f>
        <v>-0.14500000000000002</v>
      </c>
    </row>
    <row r="23" spans="2:78" x14ac:dyDescent="0.2">
      <c r="B23" s="1" t="s">
        <v>1120</v>
      </c>
      <c r="H23" s="6" t="s">
        <v>179</v>
      </c>
      <c r="I23" s="5">
        <f>SUM(I6:I9)</f>
        <v>-9.0200000000000002E-2</v>
      </c>
      <c r="M23" s="1" t="s">
        <v>1115</v>
      </c>
      <c r="S23" s="6" t="s">
        <v>179</v>
      </c>
      <c r="T23" s="5">
        <f>SUM(T6:T8)</f>
        <v>-0.13599999999999998</v>
      </c>
      <c r="W23" s="1" t="s">
        <v>1228</v>
      </c>
      <c r="AC23" s="6"/>
      <c r="AG23" s="1" t="s">
        <v>1119</v>
      </c>
      <c r="AQ23" s="1" t="s">
        <v>1119</v>
      </c>
      <c r="AY23" s="1" t="s">
        <v>1118</v>
      </c>
      <c r="BI23" s="1" t="s">
        <v>1119</v>
      </c>
      <c r="BS23" s="1" t="s">
        <v>1118</v>
      </c>
    </row>
    <row r="24" spans="2:78" x14ac:dyDescent="0.2">
      <c r="B24" s="1" t="s">
        <v>1121</v>
      </c>
      <c r="H24" s="6"/>
      <c r="M24" s="1" t="s">
        <v>1116</v>
      </c>
      <c r="S24" s="6"/>
      <c r="W24" s="1" t="s">
        <v>2342</v>
      </c>
      <c r="AG24" s="1" t="s">
        <v>1120</v>
      </c>
      <c r="AQ24" s="1" t="s">
        <v>2342</v>
      </c>
      <c r="AY24" s="1" t="s">
        <v>1228</v>
      </c>
      <c r="BI24" s="1" t="s">
        <v>2342</v>
      </c>
      <c r="BS24" s="1" t="s">
        <v>1119</v>
      </c>
    </row>
    <row r="25" spans="2:78" x14ac:dyDescent="0.2">
      <c r="M25" s="1" t="s">
        <v>1117</v>
      </c>
      <c r="W25" s="1" t="s">
        <v>1120</v>
      </c>
      <c r="AQ25" s="1" t="s">
        <v>1120</v>
      </c>
      <c r="AY25" s="1" t="s">
        <v>1120</v>
      </c>
      <c r="BI25" s="1" t="s">
        <v>1120</v>
      </c>
      <c r="BS25" s="1" t="s">
        <v>1120</v>
      </c>
    </row>
    <row r="26" spans="2:78" x14ac:dyDescent="0.2">
      <c r="B26" s="1" t="s">
        <v>1122</v>
      </c>
      <c r="M26" s="1" t="s">
        <v>1118</v>
      </c>
      <c r="AG26" s="1" t="s">
        <v>1128</v>
      </c>
    </row>
    <row r="27" spans="2:78" x14ac:dyDescent="0.2">
      <c r="B27" s="1" t="s">
        <v>1123</v>
      </c>
      <c r="M27" s="1" t="s">
        <v>1119</v>
      </c>
      <c r="W27" s="2" t="s">
        <v>2562</v>
      </c>
      <c r="AG27" s="1" t="s">
        <v>1130</v>
      </c>
      <c r="AQ27" s="2" t="s">
        <v>2797</v>
      </c>
      <c r="AY27" s="2" t="s">
        <v>2563</v>
      </c>
      <c r="BI27" s="2" t="s">
        <v>2563</v>
      </c>
      <c r="BS27" s="2" t="s">
        <v>2563</v>
      </c>
    </row>
    <row r="28" spans="2:78" x14ac:dyDescent="0.2">
      <c r="B28" s="1" t="s">
        <v>1124</v>
      </c>
      <c r="M28" s="1" t="s">
        <v>1230</v>
      </c>
      <c r="W28" s="1" t="s">
        <v>1129</v>
      </c>
      <c r="AG28" s="1" t="s">
        <v>1123</v>
      </c>
      <c r="AQ28" s="1" t="s">
        <v>1129</v>
      </c>
      <c r="AY28" s="1" t="s">
        <v>1128</v>
      </c>
      <c r="BI28" s="1" t="s">
        <v>1129</v>
      </c>
      <c r="BS28" s="1" t="s">
        <v>1128</v>
      </c>
    </row>
    <row r="29" spans="2:78" x14ac:dyDescent="0.2">
      <c r="B29" s="1" t="s">
        <v>1125</v>
      </c>
      <c r="W29" s="1" t="s">
        <v>2343</v>
      </c>
      <c r="AG29" s="1" t="s">
        <v>1127</v>
      </c>
      <c r="AQ29" s="1" t="s">
        <v>1127</v>
      </c>
      <c r="AY29" s="1" t="s">
        <v>1130</v>
      </c>
      <c r="BI29" s="1" t="s">
        <v>1130</v>
      </c>
      <c r="BS29" s="1" t="s">
        <v>1130</v>
      </c>
    </row>
    <row r="30" spans="2:78" x14ac:dyDescent="0.2">
      <c r="B30" s="1" t="s">
        <v>1126</v>
      </c>
      <c r="M30" s="2" t="s">
        <v>1231</v>
      </c>
      <c r="W30" s="1" t="s">
        <v>1131</v>
      </c>
      <c r="AG30" s="1" t="s">
        <v>1126</v>
      </c>
      <c r="AQ30" s="1" t="s">
        <v>1125</v>
      </c>
      <c r="AY30" s="1" t="s">
        <v>1123</v>
      </c>
      <c r="BI30" s="1" t="s">
        <v>1128</v>
      </c>
      <c r="BS30" s="1" t="s">
        <v>1123</v>
      </c>
    </row>
    <row r="31" spans="2:78" x14ac:dyDescent="0.2">
      <c r="B31" s="1" t="s">
        <v>1127</v>
      </c>
      <c r="M31" s="1" t="s">
        <v>1129</v>
      </c>
      <c r="W31" s="1" t="s">
        <v>1128</v>
      </c>
      <c r="AG31" s="1" t="s">
        <v>1125</v>
      </c>
      <c r="AQ31" s="1" t="s">
        <v>1124</v>
      </c>
      <c r="AY31" s="1" t="s">
        <v>1127</v>
      </c>
      <c r="BI31" s="1" t="s">
        <v>1127</v>
      </c>
      <c r="BS31" s="1" t="s">
        <v>1127</v>
      </c>
    </row>
    <row r="32" spans="2:78" x14ac:dyDescent="0.2">
      <c r="B32" s="1" t="s">
        <v>1128</v>
      </c>
      <c r="M32" s="1" t="s">
        <v>1130</v>
      </c>
      <c r="W32" s="1" t="s">
        <v>1127</v>
      </c>
      <c r="AG32" s="1" t="s">
        <v>1124</v>
      </c>
      <c r="AQ32" s="1" t="s">
        <v>1232</v>
      </c>
      <c r="AY32" s="1" t="s">
        <v>1126</v>
      </c>
      <c r="BI32" s="1" t="s">
        <v>1126</v>
      </c>
      <c r="BS32" s="1" t="s">
        <v>1126</v>
      </c>
    </row>
    <row r="33" spans="2:71" x14ac:dyDescent="0.2">
      <c r="B33" s="1" t="s">
        <v>1129</v>
      </c>
      <c r="M33" s="1" t="s">
        <v>1128</v>
      </c>
      <c r="W33" s="1" t="s">
        <v>1126</v>
      </c>
      <c r="AG33" s="1" t="s">
        <v>1232</v>
      </c>
      <c r="AQ33" s="1" t="s">
        <v>1122</v>
      </c>
      <c r="AY33" s="1" t="s">
        <v>1125</v>
      </c>
      <c r="BI33" s="1" t="s">
        <v>1125</v>
      </c>
      <c r="BS33" s="1" t="s">
        <v>1125</v>
      </c>
    </row>
    <row r="34" spans="2:71" x14ac:dyDescent="0.2">
      <c r="B34" s="1" t="s">
        <v>1130</v>
      </c>
      <c r="M34" s="1" t="s">
        <v>1127</v>
      </c>
      <c r="W34" s="1" t="s">
        <v>1125</v>
      </c>
      <c r="AG34" s="1" t="s">
        <v>1122</v>
      </c>
      <c r="AQ34" s="1" t="s">
        <v>1233</v>
      </c>
      <c r="AY34" s="1" t="s">
        <v>1124</v>
      </c>
      <c r="BI34" s="1" t="s">
        <v>1124</v>
      </c>
      <c r="BS34" s="1" t="s">
        <v>1124</v>
      </c>
    </row>
    <row r="35" spans="2:71" x14ac:dyDescent="0.2">
      <c r="B35" s="1" t="s">
        <v>1131</v>
      </c>
      <c r="M35" s="1" t="s">
        <v>1126</v>
      </c>
      <c r="W35" s="1" t="s">
        <v>1124</v>
      </c>
      <c r="AG35" s="1" t="s">
        <v>1233</v>
      </c>
      <c r="AQ35" s="1" t="s">
        <v>1128</v>
      </c>
      <c r="AY35" s="1" t="s">
        <v>1232</v>
      </c>
      <c r="BI35" s="1" t="s">
        <v>1232</v>
      </c>
      <c r="BS35" s="1" t="s">
        <v>1232</v>
      </c>
    </row>
    <row r="36" spans="2:71" x14ac:dyDescent="0.2">
      <c r="M36" s="1" t="s">
        <v>1125</v>
      </c>
      <c r="W36" s="1" t="s">
        <v>1232</v>
      </c>
      <c r="AQ36" s="1" t="s">
        <v>1130</v>
      </c>
      <c r="AY36" s="1" t="s">
        <v>1122</v>
      </c>
      <c r="BI36" s="1" t="s">
        <v>1122</v>
      </c>
      <c r="BS36" s="1" t="s">
        <v>1122</v>
      </c>
    </row>
    <row r="37" spans="2:71" x14ac:dyDescent="0.2">
      <c r="B37" s="1" t="s">
        <v>1132</v>
      </c>
      <c r="M37" s="1" t="s">
        <v>1124</v>
      </c>
      <c r="W37" s="1" t="s">
        <v>1122</v>
      </c>
      <c r="AG37" s="1" t="s">
        <v>1133</v>
      </c>
      <c r="AQ37" s="1" t="s">
        <v>1131</v>
      </c>
      <c r="AY37" s="1" t="s">
        <v>1233</v>
      </c>
      <c r="BI37" s="1" t="s">
        <v>1233</v>
      </c>
      <c r="BS37" s="1" t="s">
        <v>1233</v>
      </c>
    </row>
    <row r="38" spans="2:71" x14ac:dyDescent="0.2">
      <c r="B38" s="1" t="s">
        <v>1133</v>
      </c>
      <c r="M38" s="1" t="s">
        <v>1232</v>
      </c>
      <c r="AG38" s="1" t="s">
        <v>1134</v>
      </c>
    </row>
    <row r="39" spans="2:71" x14ac:dyDescent="0.2">
      <c r="B39" s="1" t="s">
        <v>1134</v>
      </c>
      <c r="M39" s="1" t="s">
        <v>1122</v>
      </c>
      <c r="W39" s="2" t="s">
        <v>2563</v>
      </c>
      <c r="AG39" s="1" t="s">
        <v>1137</v>
      </c>
      <c r="AQ39" s="2" t="s">
        <v>2798</v>
      </c>
      <c r="AY39" s="2" t="s">
        <v>2564</v>
      </c>
      <c r="BI39" s="2" t="s">
        <v>2564</v>
      </c>
      <c r="BS39" s="2" t="s">
        <v>2564</v>
      </c>
    </row>
    <row r="40" spans="2:71" x14ac:dyDescent="0.2">
      <c r="B40" s="1" t="s">
        <v>1135</v>
      </c>
      <c r="M40" s="1" t="s">
        <v>1233</v>
      </c>
      <c r="W40" s="1" t="s">
        <v>1237</v>
      </c>
      <c r="AG40" s="1" t="s">
        <v>1235</v>
      </c>
      <c r="AQ40" s="1" t="s">
        <v>1139</v>
      </c>
      <c r="AY40" s="1" t="s">
        <v>1133</v>
      </c>
      <c r="BI40" s="1" t="s">
        <v>1137</v>
      </c>
      <c r="BS40" s="1" t="s">
        <v>1133</v>
      </c>
    </row>
    <row r="41" spans="2:71" x14ac:dyDescent="0.2">
      <c r="B41" s="1" t="s">
        <v>1136</v>
      </c>
      <c r="W41" s="1" t="s">
        <v>1134</v>
      </c>
      <c r="AG41" s="1" t="s">
        <v>1132</v>
      </c>
      <c r="AQ41" s="1" t="s">
        <v>2799</v>
      </c>
      <c r="AY41" s="1" t="s">
        <v>1134</v>
      </c>
      <c r="BI41" s="1" t="s">
        <v>2345</v>
      </c>
      <c r="BS41" s="1" t="s">
        <v>1134</v>
      </c>
    </row>
    <row r="42" spans="2:71" x14ac:dyDescent="0.2">
      <c r="B42" s="1" t="s">
        <v>1137</v>
      </c>
      <c r="M42" s="2" t="s">
        <v>1234</v>
      </c>
      <c r="W42" s="1" t="s">
        <v>1132</v>
      </c>
      <c r="AG42" s="1" t="s">
        <v>1236</v>
      </c>
      <c r="AQ42" s="1" t="s">
        <v>2345</v>
      </c>
      <c r="AY42" s="1" t="s">
        <v>1137</v>
      </c>
      <c r="BI42" s="1" t="s">
        <v>1135</v>
      </c>
      <c r="BS42" s="1" t="s">
        <v>1137</v>
      </c>
    </row>
    <row r="43" spans="2:71" x14ac:dyDescent="0.2">
      <c r="B43" s="1" t="s">
        <v>1138</v>
      </c>
      <c r="M43" s="1" t="s">
        <v>1133</v>
      </c>
      <c r="W43" s="1" t="s">
        <v>1135</v>
      </c>
      <c r="AG43" s="1" t="s">
        <v>1138</v>
      </c>
      <c r="AQ43" s="1" t="s">
        <v>2344</v>
      </c>
      <c r="AY43" s="1" t="s">
        <v>1235</v>
      </c>
      <c r="BI43" s="1" t="s">
        <v>2344</v>
      </c>
      <c r="BS43" s="1" t="s">
        <v>1235</v>
      </c>
    </row>
    <row r="44" spans="2:71" x14ac:dyDescent="0.2">
      <c r="B44" s="1" t="s">
        <v>1139</v>
      </c>
      <c r="M44" s="1" t="s">
        <v>1134</v>
      </c>
      <c r="W44" s="1" t="s">
        <v>2344</v>
      </c>
      <c r="AG44" s="1" t="s">
        <v>1139</v>
      </c>
      <c r="AQ44" s="1" t="s">
        <v>1135</v>
      </c>
      <c r="AY44" s="1" t="s">
        <v>1132</v>
      </c>
      <c r="BI44" s="1" t="s">
        <v>2800</v>
      </c>
      <c r="BS44" s="1" t="s">
        <v>1132</v>
      </c>
    </row>
    <row r="45" spans="2:71" x14ac:dyDescent="0.2">
      <c r="B45" s="1" t="s">
        <v>1140</v>
      </c>
      <c r="M45" s="1" t="s">
        <v>1137</v>
      </c>
      <c r="W45" s="1" t="s">
        <v>1236</v>
      </c>
      <c r="AG45" s="1" t="s">
        <v>1140</v>
      </c>
      <c r="AQ45" s="1" t="s">
        <v>1134</v>
      </c>
      <c r="AY45" s="1" t="s">
        <v>1236</v>
      </c>
      <c r="BI45" s="1" t="s">
        <v>2799</v>
      </c>
      <c r="BS45" s="1" t="s">
        <v>1236</v>
      </c>
    </row>
    <row r="46" spans="2:71" x14ac:dyDescent="0.2">
      <c r="B46" s="1" t="s">
        <v>1141</v>
      </c>
      <c r="M46" s="1" t="s">
        <v>1235</v>
      </c>
      <c r="W46" s="1" t="s">
        <v>1138</v>
      </c>
      <c r="AG46" s="1" t="s">
        <v>1141</v>
      </c>
      <c r="AQ46" s="1" t="s">
        <v>1132</v>
      </c>
      <c r="AY46" s="1" t="s">
        <v>1138</v>
      </c>
      <c r="BI46" s="1" t="s">
        <v>2801</v>
      </c>
      <c r="BS46" s="1" t="s">
        <v>1138</v>
      </c>
    </row>
    <row r="47" spans="2:71" x14ac:dyDescent="0.2">
      <c r="M47" s="1" t="s">
        <v>1236</v>
      </c>
      <c r="W47" s="1" t="s">
        <v>1139</v>
      </c>
      <c r="AQ47" s="1" t="s">
        <v>1138</v>
      </c>
      <c r="AY47" s="1" t="s">
        <v>1139</v>
      </c>
      <c r="BI47" s="1" t="s">
        <v>1235</v>
      </c>
      <c r="BS47" s="1" t="s">
        <v>1139</v>
      </c>
    </row>
    <row r="48" spans="2:71" x14ac:dyDescent="0.2">
      <c r="B48" s="1" t="s">
        <v>1142</v>
      </c>
      <c r="M48" s="1" t="s">
        <v>1138</v>
      </c>
      <c r="W48" s="1" t="s">
        <v>1137</v>
      </c>
      <c r="AG48" s="1" t="s">
        <v>1142</v>
      </c>
      <c r="AQ48" s="1" t="s">
        <v>2800</v>
      </c>
      <c r="AY48" s="1" t="s">
        <v>1140</v>
      </c>
      <c r="BI48" s="1" t="s">
        <v>1136</v>
      </c>
      <c r="BS48" s="1" t="s">
        <v>1140</v>
      </c>
    </row>
    <row r="49" spans="2:71" x14ac:dyDescent="0.2">
      <c r="B49" s="1" t="s">
        <v>1143</v>
      </c>
      <c r="M49" s="1" t="s">
        <v>1139</v>
      </c>
      <c r="W49" s="1" t="s">
        <v>2345</v>
      </c>
      <c r="AG49" s="1" t="s">
        <v>1143</v>
      </c>
      <c r="AQ49" s="1" t="s">
        <v>2801</v>
      </c>
      <c r="AY49" s="1" t="s">
        <v>1141</v>
      </c>
      <c r="BI49" s="1" t="s">
        <v>1237</v>
      </c>
      <c r="BS49" s="1" t="s">
        <v>1141</v>
      </c>
    </row>
    <row r="50" spans="2:71" x14ac:dyDescent="0.2">
      <c r="B50" s="1" t="s">
        <v>1144</v>
      </c>
      <c r="M50" s="1" t="s">
        <v>1140</v>
      </c>
      <c r="AG50" s="1" t="s">
        <v>1242</v>
      </c>
    </row>
    <row r="51" spans="2:71" x14ac:dyDescent="0.2">
      <c r="B51" s="1" t="s">
        <v>1145</v>
      </c>
      <c r="M51" s="1" t="s">
        <v>1237</v>
      </c>
      <c r="W51" s="2" t="s">
        <v>2564</v>
      </c>
      <c r="AG51" s="1" t="s">
        <v>1240</v>
      </c>
      <c r="AQ51" s="2" t="s">
        <v>2802</v>
      </c>
      <c r="AY51" s="2" t="s">
        <v>2566</v>
      </c>
      <c r="BI51" s="2" t="s">
        <v>2566</v>
      </c>
      <c r="BS51" s="2" t="s">
        <v>2566</v>
      </c>
    </row>
    <row r="52" spans="2:71" x14ac:dyDescent="0.2">
      <c r="B52" s="1" t="s">
        <v>1146</v>
      </c>
      <c r="M52" s="1" t="s">
        <v>1141</v>
      </c>
      <c r="W52" s="1" t="s">
        <v>1145</v>
      </c>
      <c r="AG52" s="1" t="s">
        <v>1241</v>
      </c>
      <c r="AQ52" s="1" t="s">
        <v>1145</v>
      </c>
      <c r="AY52" s="1" t="s">
        <v>1142</v>
      </c>
      <c r="BI52" s="1" t="s">
        <v>1145</v>
      </c>
      <c r="BS52" s="1" t="s">
        <v>1142</v>
      </c>
    </row>
    <row r="53" spans="2:71" x14ac:dyDescent="0.2">
      <c r="B53" s="1" t="s">
        <v>1147</v>
      </c>
      <c r="W53" s="1" t="s">
        <v>1142</v>
      </c>
      <c r="AG53" s="1" t="s">
        <v>1149</v>
      </c>
      <c r="AQ53" s="1" t="s">
        <v>1142</v>
      </c>
      <c r="AY53" s="1" t="s">
        <v>1143</v>
      </c>
      <c r="BI53" s="1" t="s">
        <v>1143</v>
      </c>
      <c r="BS53" s="1" t="s">
        <v>1143</v>
      </c>
    </row>
    <row r="54" spans="2:71" x14ac:dyDescent="0.2">
      <c r="B54" s="1" t="s">
        <v>1148</v>
      </c>
      <c r="M54" s="2" t="s">
        <v>1238</v>
      </c>
      <c r="W54" s="1" t="s">
        <v>1143</v>
      </c>
      <c r="AG54" s="1" t="s">
        <v>1151</v>
      </c>
      <c r="AQ54" s="1" t="s">
        <v>1143</v>
      </c>
      <c r="AY54" s="1" t="s">
        <v>1242</v>
      </c>
      <c r="BI54" s="1" t="s">
        <v>1142</v>
      </c>
      <c r="BS54" s="1" t="s">
        <v>1242</v>
      </c>
    </row>
    <row r="55" spans="2:71" x14ac:dyDescent="0.2">
      <c r="B55" s="1" t="s">
        <v>1149</v>
      </c>
      <c r="M55" s="1" t="s">
        <v>1142</v>
      </c>
      <c r="W55" s="1" t="s">
        <v>1240</v>
      </c>
      <c r="AG55" s="1" t="s">
        <v>1144</v>
      </c>
      <c r="AQ55" s="1" t="s">
        <v>1240</v>
      </c>
      <c r="AY55" s="1" t="s">
        <v>1240</v>
      </c>
      <c r="BI55" s="1" t="s">
        <v>1148</v>
      </c>
      <c r="BS55" s="1" t="s">
        <v>1240</v>
      </c>
    </row>
    <row r="56" spans="2:71" x14ac:dyDescent="0.2">
      <c r="B56" s="1" t="s">
        <v>1150</v>
      </c>
      <c r="M56" s="1" t="s">
        <v>1143</v>
      </c>
      <c r="W56" s="1" t="s">
        <v>1146</v>
      </c>
      <c r="AG56" s="1" t="s">
        <v>1239</v>
      </c>
      <c r="AQ56" s="1" t="s">
        <v>1151</v>
      </c>
      <c r="AY56" s="1" t="s">
        <v>1241</v>
      </c>
      <c r="BI56" s="1" t="s">
        <v>1146</v>
      </c>
      <c r="BS56" s="1" t="s">
        <v>1241</v>
      </c>
    </row>
    <row r="57" spans="2:71" x14ac:dyDescent="0.2">
      <c r="B57" s="1" t="s">
        <v>1151</v>
      </c>
      <c r="M57" s="1" t="s">
        <v>1239</v>
      </c>
      <c r="W57" s="1" t="s">
        <v>1239</v>
      </c>
      <c r="AG57" s="1" t="s">
        <v>1150</v>
      </c>
      <c r="AQ57" s="1" t="s">
        <v>1146</v>
      </c>
      <c r="AY57" s="1" t="s">
        <v>1149</v>
      </c>
      <c r="BI57" s="1" t="s">
        <v>1240</v>
      </c>
      <c r="BS57" s="1" t="s">
        <v>1149</v>
      </c>
    </row>
    <row r="58" spans="2:71" x14ac:dyDescent="0.2">
      <c r="M58" s="1" t="s">
        <v>1240</v>
      </c>
      <c r="W58" s="1" t="s">
        <v>2346</v>
      </c>
      <c r="AQ58" s="1" t="s">
        <v>1239</v>
      </c>
      <c r="AY58" s="1" t="s">
        <v>1151</v>
      </c>
      <c r="BI58" s="1" t="s">
        <v>1144</v>
      </c>
      <c r="BS58" s="1" t="s">
        <v>1151</v>
      </c>
    </row>
    <row r="59" spans="2:71" x14ac:dyDescent="0.2">
      <c r="B59" s="1" t="s">
        <v>1152</v>
      </c>
      <c r="M59" s="1" t="s">
        <v>1241</v>
      </c>
      <c r="W59" s="1" t="s">
        <v>2565</v>
      </c>
      <c r="AG59" s="1" t="s">
        <v>1158</v>
      </c>
      <c r="AQ59" s="1" t="s">
        <v>2346</v>
      </c>
      <c r="AY59" s="1" t="s">
        <v>1144</v>
      </c>
      <c r="BI59" s="1" t="s">
        <v>1151</v>
      </c>
      <c r="BS59" s="1" t="s">
        <v>1144</v>
      </c>
    </row>
    <row r="60" spans="2:71" x14ac:dyDescent="0.2">
      <c r="B60" s="1" t="s">
        <v>1153</v>
      </c>
      <c r="M60" s="1" t="s">
        <v>1149</v>
      </c>
      <c r="W60" s="1" t="s">
        <v>1151</v>
      </c>
      <c r="AG60" s="1" t="s">
        <v>1152</v>
      </c>
      <c r="AQ60" s="1" t="s">
        <v>2347</v>
      </c>
      <c r="AY60" s="1" t="s">
        <v>1239</v>
      </c>
      <c r="BI60" s="1" t="s">
        <v>2347</v>
      </c>
      <c r="BS60" s="1" t="s">
        <v>1239</v>
      </c>
    </row>
    <row r="61" spans="2:71" x14ac:dyDescent="0.2">
      <c r="B61" s="1" t="s">
        <v>1154</v>
      </c>
      <c r="M61" s="1" t="s">
        <v>1151</v>
      </c>
      <c r="W61" s="1" t="s">
        <v>1144</v>
      </c>
      <c r="AG61" s="1" t="s">
        <v>1246</v>
      </c>
      <c r="AQ61" s="1" t="s">
        <v>1144</v>
      </c>
      <c r="AY61" s="1" t="s">
        <v>1150</v>
      </c>
      <c r="BI61" s="1" t="s">
        <v>2346</v>
      </c>
      <c r="BS61" s="1" t="s">
        <v>1150</v>
      </c>
    </row>
    <row r="62" spans="2:71" x14ac:dyDescent="0.2">
      <c r="B62" s="1" t="s">
        <v>1155</v>
      </c>
      <c r="M62" s="1" t="s">
        <v>1144</v>
      </c>
      <c r="AG62" s="1" t="s">
        <v>1244</v>
      </c>
    </row>
    <row r="63" spans="2:71" x14ac:dyDescent="0.2">
      <c r="B63" s="1" t="s">
        <v>1156</v>
      </c>
      <c r="M63" s="1" t="s">
        <v>1242</v>
      </c>
      <c r="W63" s="2" t="s">
        <v>2566</v>
      </c>
      <c r="AG63" s="1" t="s">
        <v>1245</v>
      </c>
      <c r="AQ63" s="2" t="s">
        <v>2803</v>
      </c>
      <c r="AY63" s="2" t="s">
        <v>2567</v>
      </c>
      <c r="BI63" s="2" t="s">
        <v>2567</v>
      </c>
      <c r="BS63" s="2" t="s">
        <v>2567</v>
      </c>
    </row>
    <row r="64" spans="2:71" x14ac:dyDescent="0.2">
      <c r="B64" s="1" t="s">
        <v>1157</v>
      </c>
      <c r="M64" s="1" t="s">
        <v>1150</v>
      </c>
      <c r="W64" s="1" t="s">
        <v>1155</v>
      </c>
      <c r="AG64" s="1" t="s">
        <v>1156</v>
      </c>
      <c r="AQ64" s="1" t="s">
        <v>1153</v>
      </c>
      <c r="AY64" s="1" t="s">
        <v>1158</v>
      </c>
      <c r="BI64" s="1" t="s">
        <v>1153</v>
      </c>
      <c r="BS64" s="1" t="s">
        <v>1158</v>
      </c>
    </row>
    <row r="65" spans="2:71" x14ac:dyDescent="0.2">
      <c r="B65" s="1" t="s">
        <v>1158</v>
      </c>
      <c r="W65" s="1" t="s">
        <v>2348</v>
      </c>
      <c r="AG65" s="1" t="s">
        <v>1154</v>
      </c>
      <c r="AQ65" s="1" t="s">
        <v>1160</v>
      </c>
      <c r="AY65" s="1" t="s">
        <v>1152</v>
      </c>
      <c r="BI65" s="1" t="s">
        <v>1160</v>
      </c>
      <c r="BS65" s="1" t="s">
        <v>1152</v>
      </c>
    </row>
    <row r="66" spans="2:71" x14ac:dyDescent="0.2">
      <c r="B66" s="1" t="s">
        <v>1159</v>
      </c>
      <c r="M66" s="2" t="s">
        <v>1243</v>
      </c>
      <c r="W66" s="1" t="s">
        <v>1246</v>
      </c>
      <c r="AG66" s="1" t="s">
        <v>1159</v>
      </c>
      <c r="AQ66" s="1" t="s">
        <v>2350</v>
      </c>
      <c r="AY66" s="1" t="s">
        <v>1246</v>
      </c>
      <c r="BI66" s="1" t="s">
        <v>1161</v>
      </c>
      <c r="BS66" s="1" t="s">
        <v>1246</v>
      </c>
    </row>
    <row r="67" spans="2:71" x14ac:dyDescent="0.2">
      <c r="B67" s="1" t="s">
        <v>1160</v>
      </c>
      <c r="M67" s="1" t="s">
        <v>1158</v>
      </c>
      <c r="W67" s="1" t="s">
        <v>2349</v>
      </c>
      <c r="AG67" s="1" t="s">
        <v>2575</v>
      </c>
      <c r="AQ67" s="1" t="s">
        <v>2804</v>
      </c>
      <c r="AY67" s="1" t="s">
        <v>1244</v>
      </c>
      <c r="BI67" s="1" t="s">
        <v>2350</v>
      </c>
      <c r="BS67" s="1" t="s">
        <v>1244</v>
      </c>
    </row>
    <row r="68" spans="2:71" x14ac:dyDescent="0.2">
      <c r="B68" s="1" t="s">
        <v>1161</v>
      </c>
      <c r="M68" s="1" t="s">
        <v>1156</v>
      </c>
      <c r="W68" s="1" t="s">
        <v>1158</v>
      </c>
      <c r="AG68" s="1" t="s">
        <v>1157</v>
      </c>
      <c r="AQ68" s="1" t="s">
        <v>2805</v>
      </c>
      <c r="AY68" s="1" t="s">
        <v>1245</v>
      </c>
      <c r="BI68" s="1" t="s">
        <v>1156</v>
      </c>
      <c r="BS68" s="1" t="s">
        <v>1245</v>
      </c>
    </row>
    <row r="69" spans="2:71" x14ac:dyDescent="0.2">
      <c r="M69" s="1" t="s">
        <v>1244</v>
      </c>
      <c r="W69" s="1" t="s">
        <v>1153</v>
      </c>
      <c r="AQ69" s="1" t="s">
        <v>2806</v>
      </c>
      <c r="AY69" s="1" t="s">
        <v>1156</v>
      </c>
      <c r="BI69" s="1" t="s">
        <v>2348</v>
      </c>
      <c r="BS69" s="1" t="s">
        <v>1156</v>
      </c>
    </row>
    <row r="70" spans="2:71" x14ac:dyDescent="0.2">
      <c r="B70" s="1" t="s">
        <v>1162</v>
      </c>
      <c r="M70" s="1" t="s">
        <v>1245</v>
      </c>
      <c r="W70" s="1" t="s">
        <v>1244</v>
      </c>
      <c r="AG70" s="1" t="s">
        <v>1168</v>
      </c>
      <c r="AQ70" s="1" t="s">
        <v>1154</v>
      </c>
      <c r="AY70" s="1" t="s">
        <v>1154</v>
      </c>
      <c r="BI70" s="1" t="s">
        <v>1246</v>
      </c>
      <c r="BS70" s="1" t="s">
        <v>1154</v>
      </c>
    </row>
    <row r="71" spans="2:71" x14ac:dyDescent="0.2">
      <c r="B71" s="1" t="s">
        <v>1163</v>
      </c>
      <c r="M71" s="1" t="s">
        <v>1157</v>
      </c>
      <c r="W71" s="1" t="s">
        <v>1161</v>
      </c>
      <c r="AG71" s="1" t="s">
        <v>1163</v>
      </c>
      <c r="AQ71" s="1" t="s">
        <v>1152</v>
      </c>
      <c r="AY71" s="1" t="s">
        <v>1159</v>
      </c>
      <c r="BI71" s="1" t="s">
        <v>2349</v>
      </c>
      <c r="BS71" s="1" t="s">
        <v>1159</v>
      </c>
    </row>
    <row r="72" spans="2:71" x14ac:dyDescent="0.2">
      <c r="B72" s="1" t="s">
        <v>1164</v>
      </c>
      <c r="M72" s="1" t="s">
        <v>1154</v>
      </c>
      <c r="W72" s="1" t="s">
        <v>1154</v>
      </c>
      <c r="AG72" s="1" t="s">
        <v>1162</v>
      </c>
      <c r="AQ72" s="1" t="s">
        <v>1244</v>
      </c>
      <c r="AY72" s="1" t="s">
        <v>1160</v>
      </c>
      <c r="BI72" s="1" t="s">
        <v>1158</v>
      </c>
      <c r="BS72" s="1" t="s">
        <v>1160</v>
      </c>
    </row>
    <row r="73" spans="2:71" x14ac:dyDescent="0.2">
      <c r="B73" s="1" t="s">
        <v>1165</v>
      </c>
      <c r="M73" s="1" t="s">
        <v>1159</v>
      </c>
      <c r="W73" s="1" t="s">
        <v>2350</v>
      </c>
      <c r="AG73" s="1" t="s">
        <v>1166</v>
      </c>
      <c r="AQ73" s="1" t="s">
        <v>1246</v>
      </c>
      <c r="AY73" s="1" t="s">
        <v>1157</v>
      </c>
      <c r="BI73" s="1" t="s">
        <v>1154</v>
      </c>
      <c r="BS73" s="1" t="s">
        <v>1157</v>
      </c>
    </row>
    <row r="74" spans="2:71" x14ac:dyDescent="0.2">
      <c r="B74" s="1" t="s">
        <v>1166</v>
      </c>
      <c r="M74" s="1" t="s">
        <v>1160</v>
      </c>
      <c r="AG74" s="1" t="s">
        <v>1165</v>
      </c>
    </row>
    <row r="75" spans="2:71" x14ac:dyDescent="0.2">
      <c r="B75" s="1" t="s">
        <v>1167</v>
      </c>
      <c r="M75" s="1" t="s">
        <v>1152</v>
      </c>
      <c r="W75" s="2" t="s">
        <v>2567</v>
      </c>
      <c r="AG75" s="1" t="s">
        <v>1167</v>
      </c>
      <c r="AQ75" s="2" t="s">
        <v>2807</v>
      </c>
      <c r="AY75" s="2" t="s">
        <v>2568</v>
      </c>
      <c r="BI75" s="2" t="s">
        <v>2568</v>
      </c>
      <c r="BS75" s="2" t="s">
        <v>2568</v>
      </c>
    </row>
    <row r="76" spans="2:71" x14ac:dyDescent="0.2">
      <c r="B76" s="1" t="s">
        <v>1168</v>
      </c>
      <c r="M76" s="1" t="s">
        <v>1246</v>
      </c>
      <c r="W76" s="1" t="s">
        <v>1168</v>
      </c>
      <c r="AG76" s="1" t="s">
        <v>1164</v>
      </c>
      <c r="AQ76" s="1" t="s">
        <v>1168</v>
      </c>
      <c r="AY76" s="1" t="s">
        <v>1168</v>
      </c>
      <c r="BI76" s="1" t="s">
        <v>1168</v>
      </c>
      <c r="BS76" s="1" t="s">
        <v>1168</v>
      </c>
    </row>
    <row r="77" spans="2:71" x14ac:dyDescent="0.2">
      <c r="B77" s="1" t="s">
        <v>1169</v>
      </c>
      <c r="W77" s="1" t="s">
        <v>1167</v>
      </c>
      <c r="AG77" s="1" t="s">
        <v>1248</v>
      </c>
      <c r="AQ77" s="1" t="s">
        <v>1165</v>
      </c>
      <c r="AY77" s="1" t="s">
        <v>1163</v>
      </c>
      <c r="BI77" s="1" t="s">
        <v>1167</v>
      </c>
      <c r="BS77" s="1" t="s">
        <v>1163</v>
      </c>
    </row>
    <row r="78" spans="2:71" x14ac:dyDescent="0.2">
      <c r="B78" s="1" t="s">
        <v>1170</v>
      </c>
      <c r="M78" s="2" t="s">
        <v>1247</v>
      </c>
      <c r="W78" s="1" t="s">
        <v>1163</v>
      </c>
      <c r="AG78" s="1" t="s">
        <v>1169</v>
      </c>
      <c r="AQ78" s="1" t="s">
        <v>1166</v>
      </c>
      <c r="AY78" s="1" t="s">
        <v>1162</v>
      </c>
      <c r="BI78" s="1" t="s">
        <v>2351</v>
      </c>
      <c r="BS78" s="1" t="s">
        <v>1162</v>
      </c>
    </row>
    <row r="79" spans="2:71" x14ac:dyDescent="0.2">
      <c r="B79" s="1" t="s">
        <v>1171</v>
      </c>
      <c r="M79" s="1" t="s">
        <v>1168</v>
      </c>
      <c r="W79" s="1" t="s">
        <v>2351</v>
      </c>
      <c r="AG79" s="1" t="s">
        <v>1170</v>
      </c>
      <c r="AQ79" s="1" t="s">
        <v>2354</v>
      </c>
      <c r="AY79" s="1" t="s">
        <v>1166</v>
      </c>
      <c r="BI79" s="1" t="s">
        <v>1165</v>
      </c>
      <c r="BS79" s="1" t="s">
        <v>1166</v>
      </c>
    </row>
    <row r="80" spans="2:71" x14ac:dyDescent="0.2">
      <c r="M80" s="1" t="s">
        <v>1163</v>
      </c>
      <c r="W80" s="1" t="s">
        <v>2352</v>
      </c>
      <c r="AQ80" s="1" t="s">
        <v>1248</v>
      </c>
      <c r="AY80" s="1" t="s">
        <v>1165</v>
      </c>
      <c r="BI80" s="1" t="s">
        <v>2352</v>
      </c>
      <c r="BS80" s="1" t="s">
        <v>1165</v>
      </c>
    </row>
    <row r="81" spans="2:71" x14ac:dyDescent="0.2">
      <c r="B81" s="1" t="s">
        <v>1172</v>
      </c>
      <c r="M81" s="1" t="s">
        <v>1162</v>
      </c>
      <c r="W81" s="1" t="s">
        <v>2353</v>
      </c>
      <c r="AG81" s="1" t="s">
        <v>1174</v>
      </c>
      <c r="AQ81" s="1" t="s">
        <v>2351</v>
      </c>
      <c r="AY81" s="1" t="s">
        <v>2793</v>
      </c>
      <c r="BI81" s="1" t="s">
        <v>2353</v>
      </c>
      <c r="BS81" s="1" t="s">
        <v>1167</v>
      </c>
    </row>
    <row r="82" spans="2:71" x14ac:dyDescent="0.2">
      <c r="B82" s="1" t="s">
        <v>1173</v>
      </c>
      <c r="M82" s="1" t="s">
        <v>1166</v>
      </c>
      <c r="W82" s="1" t="s">
        <v>1166</v>
      </c>
      <c r="AG82" s="1" t="s">
        <v>1177</v>
      </c>
      <c r="AQ82" s="1" t="s">
        <v>1163</v>
      </c>
      <c r="AY82" s="1" t="s">
        <v>1164</v>
      </c>
      <c r="BI82" s="1" t="s">
        <v>3011</v>
      </c>
      <c r="BS82" s="1" t="s">
        <v>1164</v>
      </c>
    </row>
    <row r="83" spans="2:71" x14ac:dyDescent="0.2">
      <c r="B83" s="1" t="s">
        <v>1174</v>
      </c>
      <c r="M83" s="1" t="s">
        <v>1165</v>
      </c>
      <c r="W83" s="1" t="s">
        <v>2354</v>
      </c>
      <c r="AG83" s="1" t="s">
        <v>2372</v>
      </c>
      <c r="AQ83" s="1" t="s">
        <v>1167</v>
      </c>
      <c r="AY83" s="1" t="s">
        <v>1248</v>
      </c>
      <c r="BI83" s="1" t="s">
        <v>1162</v>
      </c>
      <c r="BS83" s="1" t="s">
        <v>1248</v>
      </c>
    </row>
    <row r="84" spans="2:71" x14ac:dyDescent="0.2">
      <c r="B84" s="1" t="s">
        <v>1175</v>
      </c>
      <c r="M84" s="1" t="s">
        <v>1167</v>
      </c>
      <c r="W84" s="1" t="s">
        <v>1248</v>
      </c>
      <c r="AG84" s="1" t="s">
        <v>1180</v>
      </c>
      <c r="AQ84" s="1" t="s">
        <v>2353</v>
      </c>
      <c r="AY84" s="1" t="s">
        <v>1169</v>
      </c>
      <c r="BI84" s="1" t="s">
        <v>1166</v>
      </c>
      <c r="BS84" s="1" t="s">
        <v>1169</v>
      </c>
    </row>
    <row r="85" spans="2:71" x14ac:dyDescent="0.2">
      <c r="B85" s="1" t="s">
        <v>1176</v>
      </c>
      <c r="M85" s="1" t="s">
        <v>1164</v>
      </c>
      <c r="W85" s="1" t="s">
        <v>1165</v>
      </c>
      <c r="AG85" s="1" t="s">
        <v>1179</v>
      </c>
      <c r="AQ85" s="1" t="s">
        <v>2352</v>
      </c>
      <c r="AY85" s="1" t="s">
        <v>1170</v>
      </c>
      <c r="BI85" s="1" t="s">
        <v>2354</v>
      </c>
      <c r="BS85" s="1" t="s">
        <v>1170</v>
      </c>
    </row>
    <row r="86" spans="2:71" x14ac:dyDescent="0.2">
      <c r="B86" s="1" t="s">
        <v>1177</v>
      </c>
      <c r="M86" s="1" t="s">
        <v>1248</v>
      </c>
      <c r="AG86" s="1" t="s">
        <v>1178</v>
      </c>
    </row>
    <row r="87" spans="2:71" x14ac:dyDescent="0.2">
      <c r="B87" s="1" t="s">
        <v>1178</v>
      </c>
      <c r="M87" s="1" t="s">
        <v>1169</v>
      </c>
      <c r="W87" s="2" t="s">
        <v>2568</v>
      </c>
      <c r="AG87" s="1" t="s">
        <v>1250</v>
      </c>
      <c r="AQ87" s="2" t="s">
        <v>2808</v>
      </c>
      <c r="AY87" s="2" t="s">
        <v>2569</v>
      </c>
      <c r="BI87" s="2" t="s">
        <v>2569</v>
      </c>
      <c r="BS87" s="2" t="s">
        <v>2569</v>
      </c>
    </row>
    <row r="88" spans="2:71" x14ac:dyDescent="0.2">
      <c r="B88" s="1" t="s">
        <v>1179</v>
      </c>
      <c r="M88" s="1" t="s">
        <v>1170</v>
      </c>
      <c r="W88" s="1" t="s">
        <v>1254</v>
      </c>
      <c r="AG88" s="1" t="s">
        <v>1172</v>
      </c>
      <c r="AQ88" s="1" t="s">
        <v>1177</v>
      </c>
      <c r="AY88" s="1" t="s">
        <v>1174</v>
      </c>
      <c r="BI88" s="1" t="s">
        <v>1181</v>
      </c>
      <c r="BS88" s="1" t="s">
        <v>1174</v>
      </c>
    </row>
    <row r="89" spans="2:71" x14ac:dyDescent="0.2">
      <c r="B89" s="1" t="s">
        <v>1180</v>
      </c>
      <c r="W89" s="1" t="s">
        <v>1173</v>
      </c>
      <c r="AG89" s="1" t="s">
        <v>1251</v>
      </c>
      <c r="AQ89" s="1" t="s">
        <v>2809</v>
      </c>
      <c r="AY89" s="1" t="s">
        <v>1177</v>
      </c>
      <c r="BI89" s="1" t="s">
        <v>1172</v>
      </c>
      <c r="BS89" s="1" t="s">
        <v>1177</v>
      </c>
    </row>
    <row r="90" spans="2:71" x14ac:dyDescent="0.2">
      <c r="B90" s="1" t="s">
        <v>1181</v>
      </c>
      <c r="M90" s="2" t="s">
        <v>1249</v>
      </c>
      <c r="W90" s="1" t="s">
        <v>1172</v>
      </c>
      <c r="AG90" s="1" t="s">
        <v>1252</v>
      </c>
      <c r="AQ90" s="1" t="s">
        <v>1174</v>
      </c>
      <c r="AY90" s="1" t="s">
        <v>2372</v>
      </c>
      <c r="BI90" s="1" t="s">
        <v>1176</v>
      </c>
      <c r="BS90" s="1" t="s">
        <v>2372</v>
      </c>
    </row>
    <row r="91" spans="2:71" x14ac:dyDescent="0.2">
      <c r="M91" s="1" t="s">
        <v>1176</v>
      </c>
      <c r="W91" s="1" t="s">
        <v>1251</v>
      </c>
      <c r="AQ91" s="1" t="s">
        <v>1175</v>
      </c>
      <c r="AY91" s="1" t="s">
        <v>1180</v>
      </c>
      <c r="BI91" s="1" t="s">
        <v>1177</v>
      </c>
      <c r="BS91" s="1" t="s">
        <v>1180</v>
      </c>
    </row>
    <row r="92" spans="2:71" x14ac:dyDescent="0.2">
      <c r="B92" s="1" t="s">
        <v>1182</v>
      </c>
      <c r="M92" s="1" t="s">
        <v>1250</v>
      </c>
      <c r="W92" s="1" t="s">
        <v>1174</v>
      </c>
      <c r="AG92" s="1" t="s">
        <v>1182</v>
      </c>
      <c r="AQ92" s="1" t="s">
        <v>1176</v>
      </c>
      <c r="AY92" s="1" t="s">
        <v>1179</v>
      </c>
      <c r="BI92" s="1" t="s">
        <v>1254</v>
      </c>
      <c r="BS92" s="1" t="s">
        <v>1179</v>
      </c>
    </row>
    <row r="93" spans="2:71" x14ac:dyDescent="0.2">
      <c r="B93" s="1" t="s">
        <v>1183</v>
      </c>
      <c r="M93" s="1" t="s">
        <v>1172</v>
      </c>
      <c r="W93" s="1" t="s">
        <v>1175</v>
      </c>
      <c r="AG93" s="1" t="s">
        <v>1183</v>
      </c>
      <c r="AQ93" s="1" t="s">
        <v>1254</v>
      </c>
      <c r="AY93" s="1" t="s">
        <v>1178</v>
      </c>
      <c r="BI93" s="1" t="s">
        <v>2372</v>
      </c>
      <c r="BS93" s="1" t="s">
        <v>1178</v>
      </c>
    </row>
    <row r="94" spans="2:71" x14ac:dyDescent="0.2">
      <c r="B94" s="1" t="s">
        <v>1184</v>
      </c>
      <c r="M94" s="1" t="s">
        <v>1251</v>
      </c>
      <c r="W94" s="1" t="s">
        <v>1176</v>
      </c>
      <c r="AG94" s="1" t="s">
        <v>1184</v>
      </c>
      <c r="AQ94" s="1" t="s">
        <v>1250</v>
      </c>
      <c r="AY94" s="1" t="s">
        <v>1250</v>
      </c>
      <c r="BI94" s="1" t="s">
        <v>1251</v>
      </c>
      <c r="BS94" s="1" t="s">
        <v>1250</v>
      </c>
    </row>
    <row r="95" spans="2:71" x14ac:dyDescent="0.2">
      <c r="B95" s="1" t="s">
        <v>1185</v>
      </c>
      <c r="M95" s="1" t="s">
        <v>1252</v>
      </c>
      <c r="W95" s="1" t="s">
        <v>1177</v>
      </c>
      <c r="AG95" s="1" t="s">
        <v>1256</v>
      </c>
      <c r="AQ95" s="1" t="s">
        <v>1178</v>
      </c>
      <c r="AY95" s="1" t="s">
        <v>1172</v>
      </c>
      <c r="BI95" s="1" t="s">
        <v>1250</v>
      </c>
      <c r="BS95" s="1" t="s">
        <v>1172</v>
      </c>
    </row>
    <row r="96" spans="2:71" x14ac:dyDescent="0.2">
      <c r="B96" s="1" t="s">
        <v>1186</v>
      </c>
      <c r="M96" s="1" t="s">
        <v>1253</v>
      </c>
      <c r="W96" s="1" t="s">
        <v>1179</v>
      </c>
      <c r="AG96" s="1" t="s">
        <v>1257</v>
      </c>
      <c r="AQ96" s="1" t="s">
        <v>2810</v>
      </c>
      <c r="AY96" s="1" t="s">
        <v>1251</v>
      </c>
      <c r="BI96" s="1" t="s">
        <v>1173</v>
      </c>
      <c r="BS96" s="1" t="s">
        <v>1251</v>
      </c>
    </row>
    <row r="97" spans="2:71" x14ac:dyDescent="0.2">
      <c r="B97" s="1" t="s">
        <v>1187</v>
      </c>
      <c r="M97" s="1" t="s">
        <v>1174</v>
      </c>
      <c r="W97" s="1" t="s">
        <v>1178</v>
      </c>
      <c r="AG97" s="1" t="s">
        <v>1190</v>
      </c>
      <c r="AQ97" s="1" t="s">
        <v>1181</v>
      </c>
      <c r="AY97" s="1" t="s">
        <v>1252</v>
      </c>
      <c r="BI97" s="1" t="s">
        <v>3012</v>
      </c>
      <c r="BS97" s="1" t="s">
        <v>1252</v>
      </c>
    </row>
    <row r="98" spans="2:71" x14ac:dyDescent="0.2">
      <c r="B98" s="1" t="s">
        <v>1188</v>
      </c>
      <c r="M98" s="1" t="s">
        <v>1175</v>
      </c>
      <c r="AG98" s="1" t="s">
        <v>1191</v>
      </c>
    </row>
    <row r="99" spans="2:71" x14ac:dyDescent="0.2">
      <c r="B99" s="1" t="s">
        <v>1189</v>
      </c>
      <c r="M99" s="1" t="s">
        <v>1254</v>
      </c>
      <c r="W99" s="2" t="s">
        <v>2569</v>
      </c>
      <c r="AG99" s="1" t="s">
        <v>1258</v>
      </c>
      <c r="AQ99" s="2" t="s">
        <v>2811</v>
      </c>
      <c r="AY99" s="2" t="s">
        <v>2570</v>
      </c>
      <c r="BI99" s="2" t="s">
        <v>2570</v>
      </c>
      <c r="BS99" s="2" t="s">
        <v>2570</v>
      </c>
    </row>
    <row r="100" spans="2:71" x14ac:dyDescent="0.2">
      <c r="B100" s="1" t="s">
        <v>1190</v>
      </c>
      <c r="M100" s="1" t="s">
        <v>1177</v>
      </c>
      <c r="W100" s="1" t="s">
        <v>1183</v>
      </c>
      <c r="AG100" s="1" t="s">
        <v>1259</v>
      </c>
      <c r="AQ100" s="1" t="s">
        <v>1183</v>
      </c>
      <c r="AY100" s="1" t="s">
        <v>1182</v>
      </c>
      <c r="BI100" s="1" t="s">
        <v>1183</v>
      </c>
      <c r="BS100" s="1" t="s">
        <v>1182</v>
      </c>
    </row>
    <row r="101" spans="2:71" x14ac:dyDescent="0.2">
      <c r="B101" s="1" t="s">
        <v>1191</v>
      </c>
      <c r="W101" s="1" t="s">
        <v>1187</v>
      </c>
      <c r="AG101" s="1" t="s">
        <v>1186</v>
      </c>
      <c r="AQ101" s="1" t="s">
        <v>1258</v>
      </c>
      <c r="AY101" s="1" t="s">
        <v>1183</v>
      </c>
      <c r="BI101" s="1" t="s">
        <v>1256</v>
      </c>
      <c r="BS101" s="1" t="s">
        <v>1183</v>
      </c>
    </row>
    <row r="102" spans="2:71" x14ac:dyDescent="0.2">
      <c r="M102" s="2" t="s">
        <v>1255</v>
      </c>
      <c r="W102" s="1" t="s">
        <v>1258</v>
      </c>
      <c r="AQ102" s="1" t="s">
        <v>1187</v>
      </c>
      <c r="AY102" s="1" t="s">
        <v>1184</v>
      </c>
      <c r="BI102" s="1" t="s">
        <v>3013</v>
      </c>
      <c r="BS102" s="1" t="s">
        <v>1184</v>
      </c>
    </row>
    <row r="103" spans="2:71" x14ac:dyDescent="0.2">
      <c r="B103" s="1" t="s">
        <v>1192</v>
      </c>
      <c r="M103" s="1" t="s">
        <v>1182</v>
      </c>
      <c r="W103" s="1" t="s">
        <v>1257</v>
      </c>
      <c r="AG103" s="1" t="s">
        <v>1192</v>
      </c>
      <c r="AQ103" s="1" t="s">
        <v>1257</v>
      </c>
      <c r="AY103" s="1" t="s">
        <v>1256</v>
      </c>
      <c r="BI103" s="1" t="s">
        <v>1257</v>
      </c>
      <c r="BS103" s="1" t="s">
        <v>1256</v>
      </c>
    </row>
    <row r="104" spans="2:71" x14ac:dyDescent="0.2">
      <c r="B104" s="1" t="s">
        <v>1193</v>
      </c>
      <c r="M104" s="1" t="s">
        <v>1183</v>
      </c>
      <c r="W104" s="1" t="s">
        <v>1256</v>
      </c>
      <c r="AG104" s="1" t="s">
        <v>1261</v>
      </c>
      <c r="AQ104" s="1" t="s">
        <v>1182</v>
      </c>
      <c r="AY104" s="1" t="s">
        <v>1257</v>
      </c>
      <c r="BI104" s="1" t="s">
        <v>2356</v>
      </c>
      <c r="BS104" s="1" t="s">
        <v>1257</v>
      </c>
    </row>
    <row r="105" spans="2:71" x14ac:dyDescent="0.2">
      <c r="B105" s="1" t="s">
        <v>1194</v>
      </c>
      <c r="M105" s="1" t="s">
        <v>1184</v>
      </c>
      <c r="W105" s="1" t="s">
        <v>2355</v>
      </c>
      <c r="AG105" s="1" t="s">
        <v>1193</v>
      </c>
      <c r="AQ105" s="1" t="s">
        <v>1186</v>
      </c>
      <c r="AY105" s="1" t="s">
        <v>1190</v>
      </c>
      <c r="BI105" s="1" t="s">
        <v>1188</v>
      </c>
      <c r="BS105" s="1" t="s">
        <v>1190</v>
      </c>
    </row>
    <row r="106" spans="2:71" x14ac:dyDescent="0.2">
      <c r="B106" s="1" t="s">
        <v>1195</v>
      </c>
      <c r="M106" s="1" t="s">
        <v>1256</v>
      </c>
      <c r="W106" s="1" t="s">
        <v>2356</v>
      </c>
      <c r="AG106" s="1" t="s">
        <v>1195</v>
      </c>
      <c r="AQ106" s="1" t="s">
        <v>1184</v>
      </c>
      <c r="AY106" s="1" t="s">
        <v>1191</v>
      </c>
      <c r="BI106" s="1" t="s">
        <v>1258</v>
      </c>
      <c r="BS106" s="1" t="s">
        <v>1191</v>
      </c>
    </row>
    <row r="107" spans="2:71" x14ac:dyDescent="0.2">
      <c r="B107" s="1" t="s">
        <v>1196</v>
      </c>
      <c r="M107" s="1" t="s">
        <v>1257</v>
      </c>
      <c r="W107" s="1" t="s">
        <v>2357</v>
      </c>
      <c r="AG107" s="1" t="s">
        <v>1262</v>
      </c>
      <c r="AQ107" s="1" t="s">
        <v>2356</v>
      </c>
      <c r="AY107" s="1" t="s">
        <v>1258</v>
      </c>
      <c r="BI107" s="1" t="s">
        <v>2357</v>
      </c>
      <c r="BS107" s="1" t="s">
        <v>1258</v>
      </c>
    </row>
    <row r="108" spans="2:71" x14ac:dyDescent="0.2">
      <c r="B108" s="1" t="s">
        <v>1197</v>
      </c>
      <c r="M108" s="1" t="s">
        <v>1190</v>
      </c>
      <c r="W108" s="1" t="s">
        <v>1188</v>
      </c>
      <c r="AG108" s="1" t="s">
        <v>1263</v>
      </c>
      <c r="AQ108" s="1" t="s">
        <v>2812</v>
      </c>
      <c r="AY108" s="1" t="s">
        <v>1259</v>
      </c>
      <c r="BI108" s="1" t="s">
        <v>1185</v>
      </c>
      <c r="BS108" s="1" t="s">
        <v>1259</v>
      </c>
    </row>
    <row r="109" spans="2:71" x14ac:dyDescent="0.2">
      <c r="B109" s="1" t="s">
        <v>1198</v>
      </c>
      <c r="M109" s="1" t="s">
        <v>1191</v>
      </c>
      <c r="W109" s="1" t="s">
        <v>1184</v>
      </c>
      <c r="AG109" s="1" t="s">
        <v>1198</v>
      </c>
      <c r="AQ109" s="1" t="s">
        <v>2813</v>
      </c>
      <c r="AY109" s="1" t="s">
        <v>1186</v>
      </c>
      <c r="BI109" s="1" t="s">
        <v>2355</v>
      </c>
      <c r="BS109" s="1" t="s">
        <v>1186</v>
      </c>
    </row>
    <row r="110" spans="2:71" x14ac:dyDescent="0.2">
      <c r="B110" s="1" t="s">
        <v>1199</v>
      </c>
      <c r="M110" s="1" t="s">
        <v>1258</v>
      </c>
      <c r="AG110" s="1" t="s">
        <v>1201</v>
      </c>
    </row>
    <row r="111" spans="2:71" x14ac:dyDescent="0.2">
      <c r="B111" s="1" t="s">
        <v>1200</v>
      </c>
      <c r="M111" s="1" t="s">
        <v>1259</v>
      </c>
      <c r="W111" s="2" t="s">
        <v>2570</v>
      </c>
      <c r="AG111" s="1" t="s">
        <v>1196</v>
      </c>
      <c r="AQ111" s="2" t="s">
        <v>2814</v>
      </c>
      <c r="AY111" s="2" t="s">
        <v>2571</v>
      </c>
      <c r="BI111" s="2" t="s">
        <v>2571</v>
      </c>
      <c r="BS111" s="2" t="s">
        <v>2571</v>
      </c>
    </row>
    <row r="112" spans="2:71" x14ac:dyDescent="0.2">
      <c r="B112" s="1" t="s">
        <v>1201</v>
      </c>
      <c r="M112" s="1" t="s">
        <v>1186</v>
      </c>
      <c r="W112" s="1" t="s">
        <v>1192</v>
      </c>
      <c r="AG112" s="1" t="s">
        <v>1197</v>
      </c>
      <c r="AQ112" s="1" t="s">
        <v>1192</v>
      </c>
      <c r="AY112" s="1" t="s">
        <v>1192</v>
      </c>
      <c r="BI112" s="1" t="s">
        <v>1192</v>
      </c>
      <c r="BS112" s="1" t="s">
        <v>1192</v>
      </c>
    </row>
    <row r="113" spans="2:71" x14ac:dyDescent="0.2">
      <c r="W113" s="1" t="s">
        <v>1197</v>
      </c>
      <c r="AQ113" s="1" t="s">
        <v>1262</v>
      </c>
      <c r="AY113" s="1" t="s">
        <v>1261</v>
      </c>
      <c r="BI113" s="1" t="s">
        <v>1261</v>
      </c>
      <c r="BS113" s="1" t="s">
        <v>1261</v>
      </c>
    </row>
    <row r="114" spans="2:71" x14ac:dyDescent="0.2">
      <c r="B114" s="1" t="s">
        <v>1202</v>
      </c>
      <c r="M114" s="2" t="s">
        <v>1260</v>
      </c>
      <c r="W114" s="1" t="s">
        <v>1200</v>
      </c>
      <c r="AG114" s="1" t="s">
        <v>1202</v>
      </c>
      <c r="AQ114" s="1" t="s">
        <v>1194</v>
      </c>
      <c r="AY114" s="1" t="s">
        <v>1193</v>
      </c>
      <c r="BI114" s="1" t="s">
        <v>1194</v>
      </c>
      <c r="BS114" s="1" t="s">
        <v>1193</v>
      </c>
    </row>
    <row r="115" spans="2:71" x14ac:dyDescent="0.2">
      <c r="B115" s="1" t="s">
        <v>1203</v>
      </c>
      <c r="M115" s="1" t="s">
        <v>1192</v>
      </c>
      <c r="W115" s="1" t="s">
        <v>2358</v>
      </c>
      <c r="AG115" s="1" t="s">
        <v>1211</v>
      </c>
      <c r="AQ115" s="1" t="s">
        <v>2359</v>
      </c>
      <c r="AY115" s="1" t="s">
        <v>1195</v>
      </c>
      <c r="BI115" s="1" t="s">
        <v>1201</v>
      </c>
      <c r="BS115" s="1" t="s">
        <v>1195</v>
      </c>
    </row>
    <row r="116" spans="2:71" x14ac:dyDescent="0.2">
      <c r="B116" s="1" t="s">
        <v>1204</v>
      </c>
      <c r="M116" s="1" t="s">
        <v>1261</v>
      </c>
      <c r="W116" s="1" t="s">
        <v>1261</v>
      </c>
      <c r="AG116" s="1" t="s">
        <v>2361</v>
      </c>
      <c r="AQ116" s="1" t="s">
        <v>1196</v>
      </c>
      <c r="AY116" s="1" t="s">
        <v>1262</v>
      </c>
      <c r="BI116" s="1" t="s">
        <v>1262</v>
      </c>
      <c r="BS116" s="1" t="s">
        <v>1262</v>
      </c>
    </row>
    <row r="117" spans="2:71" x14ac:dyDescent="0.2">
      <c r="B117" s="1" t="s">
        <v>1205</v>
      </c>
      <c r="M117" s="1" t="s">
        <v>1262</v>
      </c>
      <c r="W117" s="1" t="s">
        <v>1194</v>
      </c>
      <c r="AG117" s="1" t="s">
        <v>2362</v>
      </c>
      <c r="AQ117" s="1" t="s">
        <v>1197</v>
      </c>
      <c r="AY117" s="1" t="s">
        <v>1263</v>
      </c>
      <c r="BI117" s="1" t="s">
        <v>1196</v>
      </c>
      <c r="BS117" s="1" t="s">
        <v>1263</v>
      </c>
    </row>
    <row r="118" spans="2:71" x14ac:dyDescent="0.2">
      <c r="B118" s="1" t="s">
        <v>1206</v>
      </c>
      <c r="M118" s="1" t="s">
        <v>1263</v>
      </c>
      <c r="W118" s="1" t="s">
        <v>1196</v>
      </c>
      <c r="AG118" s="1" t="s">
        <v>2363</v>
      </c>
      <c r="AQ118" s="1" t="s">
        <v>1198</v>
      </c>
      <c r="AY118" s="1" t="s">
        <v>1198</v>
      </c>
      <c r="BI118" s="1" t="s">
        <v>1197</v>
      </c>
      <c r="BS118" s="1" t="s">
        <v>1198</v>
      </c>
    </row>
    <row r="119" spans="2:71" x14ac:dyDescent="0.2">
      <c r="B119" s="1" t="s">
        <v>1207</v>
      </c>
      <c r="M119" s="1" t="s">
        <v>1198</v>
      </c>
      <c r="W119" s="1" t="s">
        <v>2359</v>
      </c>
      <c r="AG119" s="1" t="s">
        <v>2373</v>
      </c>
      <c r="AQ119" s="1" t="s">
        <v>1199</v>
      </c>
      <c r="AY119" s="1" t="s">
        <v>1201</v>
      </c>
      <c r="BI119" s="1" t="s">
        <v>1199</v>
      </c>
      <c r="BS119" s="1" t="s">
        <v>1201</v>
      </c>
    </row>
    <row r="120" spans="2:71" x14ac:dyDescent="0.2">
      <c r="B120" s="1" t="s">
        <v>1208</v>
      </c>
      <c r="M120" s="1" t="s">
        <v>1194</v>
      </c>
      <c r="W120" s="1" t="s">
        <v>1198</v>
      </c>
      <c r="AG120" s="1" t="s">
        <v>1203</v>
      </c>
      <c r="AQ120" s="1" t="s">
        <v>1200</v>
      </c>
      <c r="AY120" s="1" t="s">
        <v>1196</v>
      </c>
      <c r="BI120" s="1" t="s">
        <v>1198</v>
      </c>
      <c r="BS120" s="1" t="s">
        <v>1196</v>
      </c>
    </row>
    <row r="121" spans="2:71" x14ac:dyDescent="0.2">
      <c r="B121" s="1" t="s">
        <v>1209</v>
      </c>
      <c r="M121" s="1" t="s">
        <v>1201</v>
      </c>
      <c r="W121" s="1" t="s">
        <v>1262</v>
      </c>
      <c r="AG121" s="1" t="s">
        <v>1267</v>
      </c>
      <c r="AQ121" s="1" t="s">
        <v>2358</v>
      </c>
      <c r="AY121" s="1" t="s">
        <v>1197</v>
      </c>
      <c r="BI121" s="1" t="s">
        <v>2358</v>
      </c>
      <c r="BS121" s="1" t="s">
        <v>1197</v>
      </c>
    </row>
    <row r="122" spans="2:71" x14ac:dyDescent="0.2">
      <c r="B122" s="1" t="s">
        <v>1210</v>
      </c>
      <c r="M122" s="1" t="s">
        <v>1196</v>
      </c>
      <c r="AG122" s="1" t="s">
        <v>1208</v>
      </c>
    </row>
    <row r="123" spans="2:71" x14ac:dyDescent="0.2">
      <c r="B123" s="1" t="s">
        <v>1211</v>
      </c>
      <c r="M123" s="1" t="s">
        <v>1199</v>
      </c>
      <c r="W123" s="2" t="s">
        <v>2571</v>
      </c>
      <c r="AG123" s="1" t="s">
        <v>1205</v>
      </c>
      <c r="AQ123" s="2" t="s">
        <v>2815</v>
      </c>
      <c r="AY123" s="2" t="s">
        <v>2572</v>
      </c>
      <c r="BI123" s="2" t="s">
        <v>2572</v>
      </c>
      <c r="BS123" s="2" t="s">
        <v>2572</v>
      </c>
    </row>
    <row r="124" spans="2:71" x14ac:dyDescent="0.2">
      <c r="M124" s="1" t="s">
        <v>1200</v>
      </c>
      <c r="W124" s="1" t="s">
        <v>2360</v>
      </c>
      <c r="AQ124" s="1" t="s">
        <v>1208</v>
      </c>
      <c r="AY124" s="1" t="s">
        <v>1202</v>
      </c>
      <c r="BI124" s="1" t="s">
        <v>2360</v>
      </c>
      <c r="BS124" s="1" t="s">
        <v>1202</v>
      </c>
    </row>
    <row r="125" spans="2:71" x14ac:dyDescent="0.2">
      <c r="B125" s="1" t="s">
        <v>1212</v>
      </c>
      <c r="W125" s="1" t="s">
        <v>2361</v>
      </c>
      <c r="AG125" s="1" t="s">
        <v>1212</v>
      </c>
      <c r="AQ125" s="1" t="s">
        <v>2360</v>
      </c>
      <c r="AY125" s="1" t="s">
        <v>1211</v>
      </c>
      <c r="BI125" s="1" t="s">
        <v>2361</v>
      </c>
      <c r="BS125" s="1" t="s">
        <v>1211</v>
      </c>
    </row>
    <row r="126" spans="2:71" x14ac:dyDescent="0.2">
      <c r="B126" s="1" t="s">
        <v>1213</v>
      </c>
      <c r="M126" s="2" t="s">
        <v>1264</v>
      </c>
      <c r="W126" s="1" t="s">
        <v>2362</v>
      </c>
      <c r="AG126" s="1" t="s">
        <v>2374</v>
      </c>
      <c r="AQ126" s="1" t="s">
        <v>2361</v>
      </c>
      <c r="AY126" s="1" t="s">
        <v>2361</v>
      </c>
      <c r="BI126" s="1" t="s">
        <v>2362</v>
      </c>
      <c r="BS126" s="1" t="s">
        <v>2361</v>
      </c>
    </row>
    <row r="127" spans="2:71" x14ac:dyDescent="0.2">
      <c r="B127" s="1" t="s">
        <v>1214</v>
      </c>
      <c r="M127" s="1" t="s">
        <v>1202</v>
      </c>
      <c r="W127" s="1" t="s">
        <v>2363</v>
      </c>
      <c r="AG127" s="1" t="s">
        <v>1269</v>
      </c>
      <c r="AQ127" s="1" t="s">
        <v>2362</v>
      </c>
      <c r="AY127" s="1" t="s">
        <v>2362</v>
      </c>
      <c r="BI127" s="1" t="s">
        <v>2363</v>
      </c>
      <c r="BS127" s="1" t="s">
        <v>2362</v>
      </c>
    </row>
    <row r="128" spans="2:71" x14ac:dyDescent="0.2">
      <c r="B128" s="1" t="s">
        <v>1215</v>
      </c>
      <c r="M128" s="1" t="s">
        <v>1265</v>
      </c>
      <c r="W128" s="1" t="s">
        <v>1203</v>
      </c>
      <c r="AG128" s="1" t="s">
        <v>1216</v>
      </c>
      <c r="AQ128" s="1" t="s">
        <v>2363</v>
      </c>
      <c r="AY128" s="1" t="s">
        <v>2363</v>
      </c>
      <c r="BI128" s="1" t="s">
        <v>1203</v>
      </c>
      <c r="BS128" s="1" t="s">
        <v>2363</v>
      </c>
    </row>
    <row r="129" spans="2:71" x14ac:dyDescent="0.2">
      <c r="B129" s="1" t="s">
        <v>1216</v>
      </c>
      <c r="M129" s="1" t="s">
        <v>1266</v>
      </c>
      <c r="W129" s="1" t="s">
        <v>2364</v>
      </c>
      <c r="AG129" s="1" t="s">
        <v>1215</v>
      </c>
      <c r="AQ129" s="1" t="s">
        <v>2364</v>
      </c>
      <c r="AY129" s="1" t="s">
        <v>2373</v>
      </c>
      <c r="BI129" s="1" t="s">
        <v>1208</v>
      </c>
      <c r="BS129" s="1" t="s">
        <v>2373</v>
      </c>
    </row>
    <row r="130" spans="2:71" x14ac:dyDescent="0.2">
      <c r="B130" s="1" t="s">
        <v>1217</v>
      </c>
      <c r="M130" s="1" t="s">
        <v>1207</v>
      </c>
      <c r="W130" s="1" t="s">
        <v>1208</v>
      </c>
      <c r="AG130" s="1" t="s">
        <v>1217</v>
      </c>
      <c r="AQ130" s="1" t="s">
        <v>1203</v>
      </c>
      <c r="AY130" s="1" t="s">
        <v>1203</v>
      </c>
      <c r="BI130" s="1" t="s">
        <v>2364</v>
      </c>
      <c r="BS130" s="1" t="s">
        <v>1203</v>
      </c>
    </row>
    <row r="131" spans="2:71" x14ac:dyDescent="0.2">
      <c r="B131" s="1" t="s">
        <v>1218</v>
      </c>
      <c r="M131" s="1" t="s">
        <v>1204</v>
      </c>
      <c r="W131" s="1" t="s">
        <v>2365</v>
      </c>
      <c r="AG131" s="1" t="s">
        <v>1218</v>
      </c>
      <c r="AQ131" s="1" t="s">
        <v>2816</v>
      </c>
      <c r="AY131" s="1" t="s">
        <v>1267</v>
      </c>
      <c r="BI131" s="1" t="s">
        <v>2816</v>
      </c>
      <c r="BS131" s="1" t="s">
        <v>1267</v>
      </c>
    </row>
    <row r="132" spans="2:71" x14ac:dyDescent="0.2">
      <c r="B132" s="1" t="s">
        <v>1219</v>
      </c>
      <c r="M132" s="1" t="s">
        <v>1205</v>
      </c>
      <c r="W132" s="1" t="s">
        <v>2366</v>
      </c>
      <c r="AG132" s="1" t="s">
        <v>1219</v>
      </c>
      <c r="AQ132" s="1" t="s">
        <v>2817</v>
      </c>
      <c r="AY132" s="1" t="s">
        <v>1208</v>
      </c>
      <c r="BI132" s="1" t="s">
        <v>2817</v>
      </c>
      <c r="BS132" s="1" t="s">
        <v>1208</v>
      </c>
    </row>
    <row r="133" spans="2:71" x14ac:dyDescent="0.2">
      <c r="B133" s="1" t="s">
        <v>1220</v>
      </c>
      <c r="M133" s="1" t="s">
        <v>1208</v>
      </c>
      <c r="W133" s="1" t="s">
        <v>2367</v>
      </c>
      <c r="AG133" s="1" t="s">
        <v>1220</v>
      </c>
      <c r="AQ133" s="1" t="s">
        <v>1209</v>
      </c>
      <c r="AY133" s="1" t="s">
        <v>1205</v>
      </c>
      <c r="BI133" s="1" t="s">
        <v>2365</v>
      </c>
      <c r="BS133" s="1" t="s">
        <v>1205</v>
      </c>
    </row>
    <row r="134" spans="2:71" x14ac:dyDescent="0.2">
      <c r="B134" s="1" t="s">
        <v>1221</v>
      </c>
      <c r="M134" s="1" t="s">
        <v>1267</v>
      </c>
      <c r="AG134" s="1" t="s">
        <v>1221</v>
      </c>
    </row>
    <row r="135" spans="2:71" x14ac:dyDescent="0.2">
      <c r="B135" s="1" t="s">
        <v>132</v>
      </c>
      <c r="M135" s="1" t="s">
        <v>1210</v>
      </c>
      <c r="W135" s="2" t="s">
        <v>2572</v>
      </c>
      <c r="AG135" s="1" t="s">
        <v>132</v>
      </c>
      <c r="AQ135" s="2" t="s">
        <v>2818</v>
      </c>
      <c r="AY135" s="2" t="s">
        <v>2794</v>
      </c>
      <c r="BI135" s="2" t="s">
        <v>2794</v>
      </c>
      <c r="BS135" s="2" t="s">
        <v>2794</v>
      </c>
    </row>
    <row r="136" spans="2:71" x14ac:dyDescent="0.2">
      <c r="M136" s="1" t="s">
        <v>1211</v>
      </c>
      <c r="W136" s="1" t="s">
        <v>1212</v>
      </c>
      <c r="AQ136" s="1" t="s">
        <v>1212</v>
      </c>
      <c r="AY136" s="1" t="s">
        <v>1212</v>
      </c>
      <c r="BI136" s="1" t="s">
        <v>1212</v>
      </c>
      <c r="BS136" s="1" t="s">
        <v>1212</v>
      </c>
    </row>
    <row r="137" spans="2:71" x14ac:dyDescent="0.2">
      <c r="W137" s="1" t="s">
        <v>2368</v>
      </c>
      <c r="AQ137" s="1" t="s">
        <v>2368</v>
      </c>
      <c r="AY137" s="1" t="s">
        <v>2374</v>
      </c>
      <c r="BI137" s="1" t="s">
        <v>2368</v>
      </c>
      <c r="BS137" s="1" t="s">
        <v>2374</v>
      </c>
    </row>
    <row r="138" spans="2:71" x14ac:dyDescent="0.2">
      <c r="M138" s="2" t="s">
        <v>1268</v>
      </c>
      <c r="W138" s="1" t="s">
        <v>2369</v>
      </c>
      <c r="AQ138" s="1" t="s">
        <v>2369</v>
      </c>
      <c r="AY138" s="1" t="s">
        <v>1269</v>
      </c>
      <c r="BI138" s="1" t="s">
        <v>2369</v>
      </c>
      <c r="BS138" s="1" t="s">
        <v>1269</v>
      </c>
    </row>
    <row r="139" spans="2:71" x14ac:dyDescent="0.2">
      <c r="M139" s="1" t="s">
        <v>1212</v>
      </c>
      <c r="W139" s="1" t="s">
        <v>1269</v>
      </c>
      <c r="AQ139" s="1" t="s">
        <v>1269</v>
      </c>
      <c r="AY139" s="1" t="s">
        <v>1216</v>
      </c>
      <c r="BI139" s="1" t="s">
        <v>1269</v>
      </c>
      <c r="BS139" s="1" t="s">
        <v>1216</v>
      </c>
    </row>
    <row r="140" spans="2:71" x14ac:dyDescent="0.2">
      <c r="M140" s="1" t="s">
        <v>1213</v>
      </c>
      <c r="W140" s="1" t="s">
        <v>1214</v>
      </c>
      <c r="AQ140" s="1" t="s">
        <v>1214</v>
      </c>
      <c r="AY140" s="1" t="s">
        <v>1215</v>
      </c>
      <c r="BI140" s="1" t="s">
        <v>1214</v>
      </c>
      <c r="BS140" s="1" t="s">
        <v>1215</v>
      </c>
    </row>
    <row r="141" spans="2:71" x14ac:dyDescent="0.2">
      <c r="M141" s="1" t="s">
        <v>1269</v>
      </c>
      <c r="W141" s="1" t="s">
        <v>1216</v>
      </c>
      <c r="AQ141" s="1" t="s">
        <v>1216</v>
      </c>
      <c r="AY141" s="1" t="s">
        <v>1217</v>
      </c>
      <c r="BI141" s="1" t="s">
        <v>1216</v>
      </c>
      <c r="BS141" s="1" t="s">
        <v>1217</v>
      </c>
    </row>
    <row r="142" spans="2:71" x14ac:dyDescent="0.2">
      <c r="M142" s="1" t="s">
        <v>1214</v>
      </c>
      <c r="W142" s="1" t="s">
        <v>1217</v>
      </c>
      <c r="AQ142" s="1" t="s">
        <v>1217</v>
      </c>
      <c r="AY142" s="1" t="s">
        <v>1218</v>
      </c>
      <c r="BI142" s="1" t="s">
        <v>1217</v>
      </c>
      <c r="BS142" s="1" t="s">
        <v>1218</v>
      </c>
    </row>
    <row r="143" spans="2:71" x14ac:dyDescent="0.2">
      <c r="M143" s="1" t="s">
        <v>1216</v>
      </c>
      <c r="W143" s="1" t="s">
        <v>1218</v>
      </c>
      <c r="AQ143" s="1" t="s">
        <v>1218</v>
      </c>
      <c r="AY143" s="1" t="s">
        <v>1219</v>
      </c>
      <c r="BI143" s="1" t="s">
        <v>1218</v>
      </c>
      <c r="BS143" s="1" t="s">
        <v>1219</v>
      </c>
    </row>
    <row r="144" spans="2:71" x14ac:dyDescent="0.2">
      <c r="M144" s="1" t="s">
        <v>1217</v>
      </c>
      <c r="W144" s="1" t="s">
        <v>1219</v>
      </c>
      <c r="AQ144" s="1" t="s">
        <v>1219</v>
      </c>
      <c r="AY144" s="1" t="s">
        <v>1220</v>
      </c>
      <c r="BI144" s="1" t="s">
        <v>1219</v>
      </c>
      <c r="BS144" s="1" t="s">
        <v>1220</v>
      </c>
    </row>
    <row r="145" spans="13:71" x14ac:dyDescent="0.2">
      <c r="M145" s="1" t="s">
        <v>1218</v>
      </c>
      <c r="W145" s="1" t="s">
        <v>1220</v>
      </c>
      <c r="AQ145" s="1" t="s">
        <v>1220</v>
      </c>
      <c r="AY145" s="1" t="s">
        <v>1221</v>
      </c>
      <c r="BI145" s="1" t="s">
        <v>1220</v>
      </c>
      <c r="BS145" s="1" t="s">
        <v>1221</v>
      </c>
    </row>
    <row r="146" spans="13:71" x14ac:dyDescent="0.2">
      <c r="M146" s="1" t="s">
        <v>1219</v>
      </c>
      <c r="W146" s="1" t="s">
        <v>132</v>
      </c>
      <c r="AQ146" s="1" t="s">
        <v>132</v>
      </c>
      <c r="AY146" s="1" t="s">
        <v>132</v>
      </c>
      <c r="BI146" s="1" t="s">
        <v>132</v>
      </c>
      <c r="BS146" s="1" t="s">
        <v>132</v>
      </c>
    </row>
    <row r="147" spans="13:71" x14ac:dyDescent="0.2">
      <c r="M147" s="1" t="s">
        <v>1220</v>
      </c>
    </row>
    <row r="148" spans="13:71" x14ac:dyDescent="0.2">
      <c r="M148" s="1" t="s">
        <v>1221</v>
      </c>
    </row>
    <row r="149" spans="13:71" x14ac:dyDescent="0.2">
      <c r="M149" s="1" t="s">
        <v>132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AB65-972F-DB4C-9D6C-33513C61BA08}">
  <dimension ref="B1:CD149"/>
  <sheetViews>
    <sheetView topLeftCell="BU1" workbookViewId="0">
      <selection activeCell="CB26" sqref="CB17:CB26"/>
    </sheetView>
  </sheetViews>
  <sheetFormatPr baseColWidth="10" defaultRowHeight="16" x14ac:dyDescent="0.2"/>
  <cols>
    <col min="8" max="8" width="19.1640625" bestFit="1" customWidth="1"/>
    <col min="9" max="9" width="14.1640625" bestFit="1" customWidth="1"/>
    <col min="10" max="10" width="6.6640625" customWidth="1"/>
    <col min="19" max="19" width="19.1640625" bestFit="1" customWidth="1"/>
    <col min="20" max="20" width="14.1640625" bestFit="1" customWidth="1"/>
    <col min="21" max="21" width="9.6640625" customWidth="1"/>
  </cols>
  <sheetData>
    <row r="1" spans="2:82" x14ac:dyDescent="0.2">
      <c r="H1" t="s">
        <v>770</v>
      </c>
      <c r="I1">
        <v>0.03</v>
      </c>
      <c r="AQ1" s="20" t="s">
        <v>2648</v>
      </c>
      <c r="BK1" s="20" t="s">
        <v>2875</v>
      </c>
    </row>
    <row r="2" spans="2:82" x14ac:dyDescent="0.2">
      <c r="B2" s="1" t="s">
        <v>1270</v>
      </c>
      <c r="AQ2" s="1" t="s">
        <v>2819</v>
      </c>
      <c r="BA2" s="1" t="s">
        <v>1391</v>
      </c>
      <c r="BK2" s="1" t="s">
        <v>1270</v>
      </c>
      <c r="BU2" s="1" t="s">
        <v>1391</v>
      </c>
    </row>
    <row r="3" spans="2:82" x14ac:dyDescent="0.2">
      <c r="I3" t="s">
        <v>471</v>
      </c>
      <c r="J3" t="s">
        <v>661</v>
      </c>
      <c r="K3" t="s">
        <v>1435</v>
      </c>
      <c r="T3" t="s">
        <v>471</v>
      </c>
      <c r="U3" t="s">
        <v>661</v>
      </c>
      <c r="V3" t="s">
        <v>1435</v>
      </c>
      <c r="W3" s="1" t="s">
        <v>2576</v>
      </c>
      <c r="AD3" t="s">
        <v>471</v>
      </c>
      <c r="AE3" t="s">
        <v>661</v>
      </c>
      <c r="AF3" t="s">
        <v>1435</v>
      </c>
      <c r="AG3" s="1" t="s">
        <v>2578</v>
      </c>
      <c r="AN3" t="s">
        <v>471</v>
      </c>
      <c r="AO3" t="s">
        <v>661</v>
      </c>
      <c r="AP3" t="s">
        <v>1435</v>
      </c>
      <c r="AQ3" s="2" t="s">
        <v>2820</v>
      </c>
      <c r="AX3" t="s">
        <v>471</v>
      </c>
      <c r="AY3" t="s">
        <v>661</v>
      </c>
      <c r="AZ3" t="s">
        <v>1435</v>
      </c>
      <c r="BA3" s="1" t="s">
        <v>1275</v>
      </c>
      <c r="BH3" t="s">
        <v>471</v>
      </c>
      <c r="BI3" t="s">
        <v>661</v>
      </c>
      <c r="BJ3" t="s">
        <v>1435</v>
      </c>
      <c r="BK3" s="2" t="s">
        <v>2820</v>
      </c>
      <c r="BR3" t="s">
        <v>471</v>
      </c>
      <c r="BS3" t="s">
        <v>661</v>
      </c>
      <c r="BT3" t="s">
        <v>1435</v>
      </c>
      <c r="BU3" s="2" t="s">
        <v>2820</v>
      </c>
      <c r="CB3" t="s">
        <v>471</v>
      </c>
      <c r="CC3" t="s">
        <v>661</v>
      </c>
      <c r="CD3" t="s">
        <v>1435</v>
      </c>
    </row>
    <row r="4" spans="2:82" x14ac:dyDescent="0.2">
      <c r="B4" s="1" t="s">
        <v>1271</v>
      </c>
      <c r="J4">
        <v>100</v>
      </c>
      <c r="M4" s="1" t="s">
        <v>1391</v>
      </c>
      <c r="U4">
        <v>100</v>
      </c>
      <c r="W4" s="1" t="s">
        <v>2375</v>
      </c>
      <c r="AE4">
        <v>100</v>
      </c>
      <c r="AG4" s="1" t="s">
        <v>1275</v>
      </c>
      <c r="AO4">
        <v>100</v>
      </c>
      <c r="AQ4" s="1" t="s">
        <v>2375</v>
      </c>
      <c r="AY4">
        <v>100</v>
      </c>
      <c r="BA4" s="1" t="s">
        <v>1272</v>
      </c>
      <c r="BI4">
        <v>100</v>
      </c>
      <c r="BK4" s="1" t="s">
        <v>2375</v>
      </c>
      <c r="BS4">
        <v>100</v>
      </c>
      <c r="BU4" s="1" t="s">
        <v>1275</v>
      </c>
      <c r="CC4">
        <v>100</v>
      </c>
    </row>
    <row r="5" spans="2:82" x14ac:dyDescent="0.2">
      <c r="B5" s="1" t="s">
        <v>1272</v>
      </c>
      <c r="I5" s="19">
        <v>-3.2199999999999999E-2</v>
      </c>
      <c r="J5">
        <f>(1+I5)*J4</f>
        <v>96.78</v>
      </c>
      <c r="K5" s="5">
        <f>I5</f>
        <v>-3.2199999999999999E-2</v>
      </c>
      <c r="T5" s="19">
        <v>-3.1699999999999999E-2</v>
      </c>
      <c r="U5">
        <f>(1+T5)*U4</f>
        <v>96.83</v>
      </c>
      <c r="V5" s="5">
        <f>T5</f>
        <v>-3.1699999999999999E-2</v>
      </c>
      <c r="W5" s="1" t="s">
        <v>2376</v>
      </c>
      <c r="AD5" s="19">
        <v>-1.5599999999999999E-2</v>
      </c>
      <c r="AE5">
        <f>(1+AD5)*AE4</f>
        <v>98.440000000000012</v>
      </c>
      <c r="AF5" s="5">
        <f>AD5</f>
        <v>-1.5599999999999999E-2</v>
      </c>
      <c r="AG5" s="1" t="s">
        <v>1272</v>
      </c>
      <c r="AN5" s="19">
        <v>-2.2499999999999999E-2</v>
      </c>
      <c r="AO5">
        <f>(1+AN5)*AO4</f>
        <v>97.75</v>
      </c>
      <c r="AP5" s="5">
        <f>AN5</f>
        <v>-2.2499999999999999E-2</v>
      </c>
      <c r="AQ5" s="1" t="s">
        <v>2376</v>
      </c>
      <c r="AX5" s="19">
        <v>-1.5599999999999999E-2</v>
      </c>
      <c r="AY5">
        <f>(1+AX5)*AY4</f>
        <v>98.440000000000012</v>
      </c>
      <c r="AZ5" s="5">
        <f>AX5</f>
        <v>-1.5599999999999999E-2</v>
      </c>
      <c r="BA5" s="1" t="s">
        <v>1276</v>
      </c>
      <c r="BH5" s="19">
        <v>-2.2499999999999999E-2</v>
      </c>
      <c r="BI5">
        <f>(1+BH5)*BI4</f>
        <v>97.75</v>
      </c>
      <c r="BJ5" s="5">
        <f>BH5</f>
        <v>-2.2499999999999999E-2</v>
      </c>
      <c r="BK5" s="1" t="s">
        <v>2376</v>
      </c>
      <c r="BR5" s="19">
        <v>-1.5599999999999999E-2</v>
      </c>
      <c r="BS5">
        <f>(1+BR5)*BS4</f>
        <v>98.440000000000012</v>
      </c>
      <c r="BT5" s="5">
        <f>BR5</f>
        <v>-1.5599999999999999E-2</v>
      </c>
      <c r="BU5" s="1" t="s">
        <v>1272</v>
      </c>
      <c r="CB5" s="19">
        <v>-1.5599999999999999E-2</v>
      </c>
      <c r="CC5">
        <f>(1+CB5)*CC4</f>
        <v>98.440000000000012</v>
      </c>
      <c r="CD5" s="5">
        <f>CB5</f>
        <v>-1.5599999999999999E-2</v>
      </c>
    </row>
    <row r="6" spans="2:82" x14ac:dyDescent="0.2">
      <c r="B6" s="1" t="s">
        <v>1273</v>
      </c>
      <c r="I6" s="19">
        <v>-2.8E-3</v>
      </c>
      <c r="J6">
        <f t="shared" ref="J6:J16" si="0">(1+I6)*J5</f>
        <v>96.509016000000003</v>
      </c>
      <c r="K6" s="5">
        <f>I9</f>
        <v>2.9999999999999997E-4</v>
      </c>
      <c r="M6" s="2" t="s">
        <v>1392</v>
      </c>
      <c r="T6" s="19">
        <v>-2.5999999999999999E-3</v>
      </c>
      <c r="U6">
        <f t="shared" ref="U6:U16" si="1">(1+T6)*U5</f>
        <v>96.578241999999989</v>
      </c>
      <c r="V6" s="5">
        <f>T6</f>
        <v>-2.5999999999999999E-3</v>
      </c>
      <c r="W6" s="1" t="s">
        <v>1280</v>
      </c>
      <c r="AD6" s="19">
        <v>-8.6E-3</v>
      </c>
      <c r="AE6">
        <f t="shared" ref="AE6:AE16" si="2">(1+AD6)*AE5</f>
        <v>97.593416000000005</v>
      </c>
      <c r="AF6" s="5">
        <f>AD6</f>
        <v>-8.6E-3</v>
      </c>
      <c r="AG6" s="1" t="s">
        <v>1276</v>
      </c>
      <c r="AN6" s="19">
        <v>-3.5000000000000001E-3</v>
      </c>
      <c r="AO6">
        <f t="shared" ref="AO6:AO16" si="3">(1+AN6)*AO5</f>
        <v>97.407875000000004</v>
      </c>
      <c r="AP6" s="5">
        <f>AN6</f>
        <v>-3.5000000000000001E-3</v>
      </c>
      <c r="AQ6" s="1" t="s">
        <v>1280</v>
      </c>
      <c r="AX6" s="19">
        <v>-9.5999999999999992E-3</v>
      </c>
      <c r="AY6">
        <f t="shared" ref="AY6:AY16" si="4">(1+AX6)*AY5</f>
        <v>97.494976000000008</v>
      </c>
      <c r="AZ6" s="5">
        <f>AX6</f>
        <v>-9.5999999999999992E-3</v>
      </c>
      <c r="BA6" s="1" t="s">
        <v>1277</v>
      </c>
      <c r="BH6" s="19">
        <v>-3.5000000000000001E-3</v>
      </c>
      <c r="BI6">
        <f t="shared" ref="BI6:BI16" si="5">(1+BH6)*BI5</f>
        <v>97.407875000000004</v>
      </c>
      <c r="BJ6" s="5">
        <f>BH6</f>
        <v>-3.5000000000000001E-3</v>
      </c>
      <c r="BK6" s="1" t="s">
        <v>1280</v>
      </c>
      <c r="BR6" s="19">
        <v>-6.7999999999999996E-3</v>
      </c>
      <c r="BS6">
        <f t="shared" ref="BS6:BS16" si="6">(1+BR6)*BS5</f>
        <v>97.77060800000001</v>
      </c>
      <c r="BT6" s="5">
        <f>BR6</f>
        <v>-6.7999999999999996E-3</v>
      </c>
      <c r="BU6" s="1" t="s">
        <v>1276</v>
      </c>
      <c r="CB6" s="19">
        <v>-6.7999999999999996E-3</v>
      </c>
      <c r="CC6">
        <f t="shared" ref="CC6:CC16" si="7">(1+CB6)*CC5</f>
        <v>97.77060800000001</v>
      </c>
      <c r="CD6" s="5">
        <f>CB6</f>
        <v>-6.7999999999999996E-3</v>
      </c>
    </row>
    <row r="7" spans="2:82" x14ac:dyDescent="0.2">
      <c r="B7" s="1" t="s">
        <v>1274</v>
      </c>
      <c r="I7" s="19">
        <v>1.47E-2</v>
      </c>
      <c r="J7">
        <f t="shared" si="0"/>
        <v>97.927698535199994</v>
      </c>
      <c r="K7" s="5">
        <f>I14</f>
        <v>-8.3999999999999995E-3</v>
      </c>
      <c r="M7" s="1" t="s">
        <v>1274</v>
      </c>
      <c r="T7" s="19">
        <v>1.8200000000000001E-2</v>
      </c>
      <c r="U7">
        <f t="shared" si="1"/>
        <v>98.335966004399992</v>
      </c>
      <c r="V7" s="5">
        <f>T10</f>
        <v>3.5999999999999999E-3</v>
      </c>
      <c r="W7" s="1" t="s">
        <v>1393</v>
      </c>
      <c r="AD7" s="19">
        <v>2.4899999999999999E-2</v>
      </c>
      <c r="AE7">
        <f t="shared" si="2"/>
        <v>100.0234920584</v>
      </c>
      <c r="AF7" s="5">
        <f>AD10</f>
        <v>-1.0699999999999999E-2</v>
      </c>
      <c r="AG7" s="1" t="s">
        <v>1277</v>
      </c>
      <c r="AN7" s="19">
        <v>1.15E-2</v>
      </c>
      <c r="AO7">
        <f t="shared" si="3"/>
        <v>98.528065562500004</v>
      </c>
      <c r="AP7" s="5">
        <f>AN14</f>
        <v>-9.7999999999999997E-3</v>
      </c>
      <c r="AQ7" s="1" t="s">
        <v>1393</v>
      </c>
      <c r="AX7" s="19">
        <v>2.41E-2</v>
      </c>
      <c r="AY7">
        <f t="shared" si="4"/>
        <v>99.844604921600009</v>
      </c>
      <c r="AZ7" s="5">
        <f>AX9</f>
        <v>-1.4999999999999999E-2</v>
      </c>
      <c r="BA7" s="1" t="s">
        <v>1278</v>
      </c>
      <c r="BH7" s="19">
        <v>1.15E-2</v>
      </c>
      <c r="BI7">
        <f t="shared" si="5"/>
        <v>98.528065562500004</v>
      </c>
      <c r="BJ7" s="5">
        <f>BH14</f>
        <v>-9.9000000000000008E-3</v>
      </c>
      <c r="BK7" s="1" t="s">
        <v>1393</v>
      </c>
      <c r="BR7" s="19">
        <v>2.4899999999999999E-2</v>
      </c>
      <c r="BS7">
        <f t="shared" si="6"/>
        <v>100.20509613920001</v>
      </c>
      <c r="BT7" s="5">
        <f>BR14</f>
        <v>-1.24E-2</v>
      </c>
      <c r="BU7" s="1" t="s">
        <v>1277</v>
      </c>
      <c r="CB7" s="19">
        <v>2.4899999999999999E-2</v>
      </c>
      <c r="CC7">
        <f t="shared" si="7"/>
        <v>100.20509613920001</v>
      </c>
      <c r="CD7" s="5">
        <f>CB14</f>
        <v>-1.24E-2</v>
      </c>
    </row>
    <row r="8" spans="2:82" x14ac:dyDescent="0.2">
      <c r="B8" s="1" t="s">
        <v>1275</v>
      </c>
      <c r="I8" s="19">
        <v>1.77E-2</v>
      </c>
      <c r="J8">
        <f t="shared" si="0"/>
        <v>99.661018799273037</v>
      </c>
      <c r="K8" s="5">
        <f>I16</f>
        <v>-2.3800000000000002E-2</v>
      </c>
      <c r="M8" s="1" t="s">
        <v>1272</v>
      </c>
      <c r="T8" s="19">
        <v>2.81E-2</v>
      </c>
      <c r="U8">
        <f t="shared" si="1"/>
        <v>101.09920664912363</v>
      </c>
      <c r="V8" s="5">
        <f>T14</f>
        <v>2.7000000000000001E-3</v>
      </c>
      <c r="W8" s="1" t="s">
        <v>1273</v>
      </c>
      <c r="AD8" s="19">
        <v>2.7900000000000001E-2</v>
      </c>
      <c r="AE8">
        <f t="shared" si="2"/>
        <v>102.81414748682936</v>
      </c>
      <c r="AF8" s="5">
        <f>AD9</f>
        <v>-2.7199999999999998E-2</v>
      </c>
      <c r="AG8" s="1" t="s">
        <v>1278</v>
      </c>
      <c r="AN8" s="19">
        <v>9.2999999999999992E-3</v>
      </c>
      <c r="AO8">
        <f t="shared" si="3"/>
        <v>99.444376572231263</v>
      </c>
      <c r="AP8" s="5">
        <f>AN16</f>
        <v>-2.0400000000000001E-2</v>
      </c>
      <c r="AQ8" s="1" t="s">
        <v>1273</v>
      </c>
      <c r="AX8" s="19">
        <v>1.3299999999999999E-2</v>
      </c>
      <c r="AY8">
        <f t="shared" si="4"/>
        <v>101.1725381670573</v>
      </c>
      <c r="AZ8" s="5">
        <f>AX10</f>
        <v>-1.7899999999999999E-2</v>
      </c>
      <c r="BA8" s="1" t="s">
        <v>1393</v>
      </c>
      <c r="BH8" s="19">
        <v>9.2999999999999992E-3</v>
      </c>
      <c r="BI8">
        <f t="shared" si="5"/>
        <v>99.444376572231263</v>
      </c>
      <c r="BJ8" s="5">
        <f>BH16</f>
        <v>-2.0400000000000001E-2</v>
      </c>
      <c r="BK8" s="1" t="s">
        <v>1273</v>
      </c>
      <c r="BR8" s="19">
        <v>0.03</v>
      </c>
      <c r="BS8">
        <f t="shared" si="6"/>
        <v>103.21124902337601</v>
      </c>
      <c r="BT8" s="5">
        <f>BR16</f>
        <v>-2.9399999999999999E-2</v>
      </c>
      <c r="BU8" s="1" t="s">
        <v>1278</v>
      </c>
      <c r="CB8" s="19">
        <v>0.03</v>
      </c>
      <c r="CC8">
        <f t="shared" si="7"/>
        <v>103.21124902337601</v>
      </c>
      <c r="CD8" s="5">
        <f>CB16</f>
        <v>-2.9399999999999999E-2</v>
      </c>
    </row>
    <row r="9" spans="2:82" x14ac:dyDescent="0.2">
      <c r="B9" s="1" t="s">
        <v>1276</v>
      </c>
      <c r="I9" s="19">
        <v>2.9999999999999997E-4</v>
      </c>
      <c r="J9">
        <f t="shared" si="0"/>
        <v>99.690917104912813</v>
      </c>
      <c r="M9" s="1" t="s">
        <v>1276</v>
      </c>
      <c r="T9" s="19">
        <v>1.0999999999999999E-2</v>
      </c>
      <c r="U9">
        <f t="shared" si="1"/>
        <v>102.21129792226398</v>
      </c>
      <c r="V9" s="5">
        <f>T16</f>
        <v>-2.0400000000000001E-2</v>
      </c>
      <c r="W9" s="1" t="s">
        <v>2377</v>
      </c>
      <c r="AD9" s="19">
        <v>-2.7199999999999998E-2</v>
      </c>
      <c r="AE9">
        <f t="shared" si="2"/>
        <v>100.0176026751876</v>
      </c>
      <c r="AF9" s="5">
        <f>AD14</f>
        <v>-1.24E-2</v>
      </c>
      <c r="AG9" s="1" t="s">
        <v>1393</v>
      </c>
      <c r="AN9" s="19">
        <v>6.1000000000000004E-3</v>
      </c>
      <c r="AO9">
        <f t="shared" si="3"/>
        <v>100.05098726932188</v>
      </c>
      <c r="AQ9" s="1" t="s">
        <v>2377</v>
      </c>
      <c r="AX9" s="19">
        <v>-1.4999999999999999E-2</v>
      </c>
      <c r="AY9">
        <f t="shared" si="4"/>
        <v>99.654950094551438</v>
      </c>
      <c r="AZ9" s="5">
        <f>AX14</f>
        <v>-1.24E-2</v>
      </c>
      <c r="BA9" s="1" t="s">
        <v>1279</v>
      </c>
      <c r="BH9" s="19">
        <v>6.1000000000000004E-3</v>
      </c>
      <c r="BI9">
        <f t="shared" si="5"/>
        <v>100.05098726932188</v>
      </c>
      <c r="BK9" s="1" t="s">
        <v>2377</v>
      </c>
      <c r="BR9" s="19">
        <v>2.7000000000000001E-3</v>
      </c>
      <c r="BS9">
        <f t="shared" si="6"/>
        <v>103.48991939573912</v>
      </c>
      <c r="BU9" s="1" t="s">
        <v>1393</v>
      </c>
      <c r="CB9" s="19">
        <v>2.7000000000000001E-3</v>
      </c>
      <c r="CC9">
        <f t="shared" si="7"/>
        <v>103.48991939573912</v>
      </c>
    </row>
    <row r="10" spans="2:82" x14ac:dyDescent="0.2">
      <c r="B10" s="1" t="s">
        <v>1277</v>
      </c>
      <c r="I10" s="19">
        <v>2.2000000000000001E-3</v>
      </c>
      <c r="J10">
        <f t="shared" si="0"/>
        <v>99.91023712254362</v>
      </c>
      <c r="M10" s="1" t="s">
        <v>1277</v>
      </c>
      <c r="T10" s="19">
        <v>3.5999999999999999E-3</v>
      </c>
      <c r="U10">
        <f t="shared" si="1"/>
        <v>102.57925859478414</v>
      </c>
      <c r="W10" s="1" t="s">
        <v>1276</v>
      </c>
      <c r="AD10" s="19">
        <v>-1.0699999999999999E-2</v>
      </c>
      <c r="AE10">
        <f t="shared" si="2"/>
        <v>98.947414326563091</v>
      </c>
      <c r="AF10" s="5">
        <f>AD15</f>
        <v>-1.8499999999999999E-2</v>
      </c>
      <c r="AG10" s="1" t="s">
        <v>1279</v>
      </c>
      <c r="AN10" s="19">
        <v>2.5000000000000001E-3</v>
      </c>
      <c r="AO10">
        <f t="shared" si="3"/>
        <v>100.30111473749518</v>
      </c>
      <c r="AQ10" s="1" t="s">
        <v>1276</v>
      </c>
      <c r="AX10" s="19">
        <v>-1.7899999999999999E-2</v>
      </c>
      <c r="AY10">
        <f t="shared" si="4"/>
        <v>97.871126487858959</v>
      </c>
      <c r="AZ10" s="5">
        <f>AX15</f>
        <v>-1.8499999999999999E-2</v>
      </c>
      <c r="BA10" s="1" t="s">
        <v>1280</v>
      </c>
      <c r="BH10" s="19">
        <v>2.5000000000000001E-3</v>
      </c>
      <c r="BI10">
        <f t="shared" si="5"/>
        <v>100.30111473749518</v>
      </c>
      <c r="BJ10" s="5"/>
      <c r="BK10" s="1" t="s">
        <v>1276</v>
      </c>
      <c r="BR10" s="19">
        <v>-2.3099999999999999E-2</v>
      </c>
      <c r="BS10">
        <f t="shared" si="6"/>
        <v>101.09930225769754</v>
      </c>
      <c r="BT10" s="5"/>
      <c r="BU10" s="1" t="s">
        <v>1279</v>
      </c>
      <c r="CB10" s="19">
        <v>-2.3099999999999999E-2</v>
      </c>
      <c r="CC10">
        <f t="shared" si="7"/>
        <v>101.09930225769754</v>
      </c>
      <c r="CD10" s="5"/>
    </row>
    <row r="11" spans="2:82" x14ac:dyDescent="0.2">
      <c r="B11" s="1" t="s">
        <v>1278</v>
      </c>
      <c r="I11" s="19">
        <v>1.17E-2</v>
      </c>
      <c r="J11">
        <f t="shared" si="0"/>
        <v>101.07918689687739</v>
      </c>
      <c r="M11" s="1" t="s">
        <v>1278</v>
      </c>
      <c r="T11" s="19">
        <v>2.4299999999999999E-2</v>
      </c>
      <c r="U11">
        <f t="shared" si="1"/>
        <v>105.0719345786374</v>
      </c>
      <c r="W11" s="1" t="s">
        <v>1277</v>
      </c>
      <c r="AD11" s="19">
        <v>1.34E-2</v>
      </c>
      <c r="AE11">
        <f t="shared" si="2"/>
        <v>100.27330967853905</v>
      </c>
      <c r="AF11" s="5">
        <f>AD16</f>
        <v>-3.4599999999999999E-2</v>
      </c>
      <c r="AG11" s="1" t="s">
        <v>1280</v>
      </c>
      <c r="AN11" s="19">
        <v>1.12E-2</v>
      </c>
      <c r="AO11">
        <f t="shared" si="3"/>
        <v>101.42448722255514</v>
      </c>
      <c r="AQ11" s="1" t="s">
        <v>1277</v>
      </c>
      <c r="AX11" s="19">
        <v>1.34E-2</v>
      </c>
      <c r="AY11">
        <f t="shared" si="4"/>
        <v>99.182599582796271</v>
      </c>
      <c r="AZ11" s="5">
        <f>AX16</f>
        <v>-2.64E-2</v>
      </c>
      <c r="BA11" s="1" t="s">
        <v>1271</v>
      </c>
      <c r="BH11" s="19">
        <v>1.12E-2</v>
      </c>
      <c r="BI11">
        <f t="shared" si="5"/>
        <v>101.42448722255514</v>
      </c>
      <c r="BK11" s="1" t="s">
        <v>1277</v>
      </c>
      <c r="BR11" s="19">
        <v>1.66E-2</v>
      </c>
      <c r="BS11">
        <f t="shared" si="6"/>
        <v>102.77755067517532</v>
      </c>
      <c r="BU11" s="1" t="s">
        <v>1280</v>
      </c>
      <c r="CB11" s="19">
        <v>1.66E-2</v>
      </c>
      <c r="CC11">
        <f t="shared" si="7"/>
        <v>102.77755067517532</v>
      </c>
    </row>
    <row r="12" spans="2:82" x14ac:dyDescent="0.2">
      <c r="B12" s="1" t="s">
        <v>1279</v>
      </c>
      <c r="I12" s="19">
        <v>1.3299999999999999E-2</v>
      </c>
      <c r="J12">
        <f t="shared" si="0"/>
        <v>102.42354008260587</v>
      </c>
      <c r="M12" s="1" t="s">
        <v>1393</v>
      </c>
      <c r="T12" s="19">
        <v>3.0000000000000001E-3</v>
      </c>
      <c r="U12">
        <f t="shared" si="1"/>
        <v>105.38715038237329</v>
      </c>
      <c r="W12" s="1" t="s">
        <v>1278</v>
      </c>
      <c r="AD12" s="19">
        <v>1.1299999999999999E-2</v>
      </c>
      <c r="AE12">
        <f t="shared" si="2"/>
        <v>101.40639807790654</v>
      </c>
      <c r="AG12" s="1" t="s">
        <v>1271</v>
      </c>
      <c r="AN12" s="19">
        <v>5.4000000000000003E-3</v>
      </c>
      <c r="AO12">
        <f t="shared" si="3"/>
        <v>101.97217945355695</v>
      </c>
      <c r="AQ12" s="1" t="s">
        <v>1278</v>
      </c>
      <c r="AX12" s="19">
        <v>1.06E-2</v>
      </c>
      <c r="AY12">
        <f t="shared" si="4"/>
        <v>100.23393513837391</v>
      </c>
      <c r="BA12" s="1" t="s">
        <v>1394</v>
      </c>
      <c r="BH12" s="19">
        <v>5.4000000000000003E-3</v>
      </c>
      <c r="BI12">
        <f t="shared" si="5"/>
        <v>101.97217945355695</v>
      </c>
      <c r="BK12" s="1" t="s">
        <v>1278</v>
      </c>
      <c r="BR12" s="19">
        <v>1.09E-2</v>
      </c>
      <c r="BS12">
        <f t="shared" si="6"/>
        <v>103.89782597753472</v>
      </c>
      <c r="BU12" s="1" t="s">
        <v>1271</v>
      </c>
      <c r="CB12" s="19">
        <v>1.09E-2</v>
      </c>
      <c r="CC12">
        <f t="shared" si="7"/>
        <v>103.89782597753472</v>
      </c>
    </row>
    <row r="13" spans="2:82" x14ac:dyDescent="0.2">
      <c r="B13" s="1" t="s">
        <v>1280</v>
      </c>
      <c r="I13" s="19">
        <v>4.6600000000000003E-2</v>
      </c>
      <c r="J13">
        <f t="shared" si="0"/>
        <v>107.1964770504553</v>
      </c>
      <c r="M13" s="1" t="s">
        <v>1279</v>
      </c>
      <c r="T13" s="19">
        <v>3.3700000000000001E-2</v>
      </c>
      <c r="U13">
        <f t="shared" si="1"/>
        <v>108.93869735025928</v>
      </c>
      <c r="W13" s="1" t="s">
        <v>1279</v>
      </c>
      <c r="AD13" s="19">
        <v>6.2399999999999997E-2</v>
      </c>
      <c r="AE13">
        <f t="shared" si="2"/>
        <v>107.73415731796791</v>
      </c>
      <c r="AG13" s="1" t="s">
        <v>1394</v>
      </c>
      <c r="AN13" s="19">
        <v>3.2399999999999998E-2</v>
      </c>
      <c r="AO13">
        <f t="shared" si="3"/>
        <v>105.2760780678522</v>
      </c>
      <c r="AQ13" s="1" t="s">
        <v>1279</v>
      </c>
      <c r="AX13" s="19">
        <v>5.6500000000000002E-2</v>
      </c>
      <c r="AY13">
        <f t="shared" si="4"/>
        <v>105.89715247369203</v>
      </c>
      <c r="BH13" s="19">
        <v>3.2399999999999998E-2</v>
      </c>
      <c r="BI13">
        <f t="shared" si="5"/>
        <v>105.2760780678522</v>
      </c>
      <c r="BK13" s="1" t="s">
        <v>1279</v>
      </c>
      <c r="BR13" s="19">
        <v>5.5500000000000001E-2</v>
      </c>
      <c r="BS13">
        <f t="shared" si="6"/>
        <v>109.66415531928791</v>
      </c>
      <c r="BU13" s="1" t="s">
        <v>1394</v>
      </c>
      <c r="CB13" s="19">
        <v>5.5500000000000001E-2</v>
      </c>
      <c r="CC13">
        <f t="shared" si="7"/>
        <v>109.66415531928791</v>
      </c>
    </row>
    <row r="14" spans="2:82" x14ac:dyDescent="0.2">
      <c r="I14" s="19">
        <v>-8.3999999999999995E-3</v>
      </c>
      <c r="J14">
        <f t="shared" si="0"/>
        <v>106.29602664323149</v>
      </c>
      <c r="M14" s="1" t="s">
        <v>1280</v>
      </c>
      <c r="T14" s="19">
        <v>2.7000000000000001E-3</v>
      </c>
      <c r="U14">
        <f t="shared" si="1"/>
        <v>109.23283183310497</v>
      </c>
      <c r="AD14" s="19">
        <v>-1.24E-2</v>
      </c>
      <c r="AE14">
        <f t="shared" si="2"/>
        <v>106.39825376722511</v>
      </c>
      <c r="AN14" s="19">
        <v>-9.7999999999999997E-3</v>
      </c>
      <c r="AO14">
        <f t="shared" si="3"/>
        <v>104.24437250278724</v>
      </c>
      <c r="AX14" s="19">
        <v>-1.24E-2</v>
      </c>
      <c r="AY14">
        <f t="shared" si="4"/>
        <v>104.58402778301826</v>
      </c>
      <c r="BA14" s="2" t="s">
        <v>2821</v>
      </c>
      <c r="BH14" s="19">
        <v>-9.9000000000000008E-3</v>
      </c>
      <c r="BI14">
        <f t="shared" si="5"/>
        <v>104.23384489498046</v>
      </c>
      <c r="BR14" s="19">
        <v>-1.24E-2</v>
      </c>
      <c r="BS14">
        <f t="shared" si="6"/>
        <v>108.30431979332874</v>
      </c>
      <c r="CB14" s="19">
        <v>-1.24E-2</v>
      </c>
      <c r="CC14">
        <f t="shared" si="7"/>
        <v>108.30431979332874</v>
      </c>
    </row>
    <row r="15" spans="2:82" x14ac:dyDescent="0.2">
      <c r="B15" s="1" t="s">
        <v>1281</v>
      </c>
      <c r="I15" s="19">
        <v>1.2200000000000001E-2</v>
      </c>
      <c r="J15">
        <f t="shared" si="0"/>
        <v>107.5928381682789</v>
      </c>
      <c r="M15" s="1" t="s">
        <v>1271</v>
      </c>
      <c r="T15" s="19">
        <v>6.6E-3</v>
      </c>
      <c r="U15">
        <f t="shared" si="1"/>
        <v>109.95376852320345</v>
      </c>
      <c r="W15" s="1" t="s">
        <v>1281</v>
      </c>
      <c r="AD15" s="19">
        <v>-1.8499999999999999E-2</v>
      </c>
      <c r="AE15">
        <f t="shared" si="2"/>
        <v>104.42988607253146</v>
      </c>
      <c r="AG15" s="1" t="s">
        <v>1284</v>
      </c>
      <c r="AN15" s="19">
        <v>6.6E-3</v>
      </c>
      <c r="AO15">
        <f t="shared" si="3"/>
        <v>104.93238536130563</v>
      </c>
      <c r="AQ15" s="2" t="s">
        <v>2821</v>
      </c>
      <c r="AX15" s="19">
        <v>-1.8499999999999999E-2</v>
      </c>
      <c r="AY15">
        <f t="shared" si="4"/>
        <v>102.64922326903242</v>
      </c>
      <c r="BA15" s="1" t="s">
        <v>1284</v>
      </c>
      <c r="BH15" s="19">
        <v>6.6E-3</v>
      </c>
      <c r="BI15">
        <f t="shared" si="5"/>
        <v>104.92178827128733</v>
      </c>
      <c r="BK15" s="2" t="s">
        <v>2821</v>
      </c>
      <c r="BR15" s="19">
        <v>-1.8499999999999999E-2</v>
      </c>
      <c r="BS15">
        <f t="shared" si="6"/>
        <v>106.30068987715217</v>
      </c>
      <c r="BU15" s="2" t="s">
        <v>2821</v>
      </c>
      <c r="CB15" s="19">
        <v>-1.8499999999999999E-2</v>
      </c>
      <c r="CC15">
        <f t="shared" si="7"/>
        <v>106.30068987715217</v>
      </c>
    </row>
    <row r="16" spans="2:82" x14ac:dyDescent="0.2">
      <c r="B16" s="1" t="s">
        <v>1282</v>
      </c>
      <c r="I16" s="19">
        <v>-2.3800000000000002E-2</v>
      </c>
      <c r="J16">
        <f t="shared" si="0"/>
        <v>105.03212861987386</v>
      </c>
      <c r="M16" s="1" t="s">
        <v>1394</v>
      </c>
      <c r="T16" s="19">
        <v>-2.0400000000000001E-2</v>
      </c>
      <c r="U16">
        <f t="shared" si="1"/>
        <v>107.71071164533011</v>
      </c>
      <c r="W16" s="1" t="s">
        <v>2378</v>
      </c>
      <c r="AD16" s="19">
        <v>-3.4599999999999999E-2</v>
      </c>
      <c r="AE16">
        <f t="shared" si="2"/>
        <v>100.81661201442188</v>
      </c>
      <c r="AG16" s="1" t="s">
        <v>2420</v>
      </c>
      <c r="AN16" s="19">
        <v>-2.0400000000000001E-2</v>
      </c>
      <c r="AO16">
        <f t="shared" si="3"/>
        <v>102.791764699935</v>
      </c>
      <c r="AQ16" s="1" t="s">
        <v>1281</v>
      </c>
      <c r="AX16" s="19">
        <v>-2.64E-2</v>
      </c>
      <c r="AY16">
        <f t="shared" si="4"/>
        <v>99.939283774729958</v>
      </c>
      <c r="BA16" s="1" t="s">
        <v>2420</v>
      </c>
      <c r="BH16" s="19">
        <v>-2.0400000000000001E-2</v>
      </c>
      <c r="BI16">
        <f t="shared" si="5"/>
        <v>102.78138379055306</v>
      </c>
      <c r="BK16" s="1" t="s">
        <v>1281</v>
      </c>
      <c r="BR16" s="19">
        <v>-2.9399999999999999E-2</v>
      </c>
      <c r="BS16">
        <f t="shared" si="6"/>
        <v>103.17544959476389</v>
      </c>
      <c r="BU16" s="1" t="s">
        <v>1284</v>
      </c>
      <c r="CB16" s="19">
        <v>-2.9399999999999999E-2</v>
      </c>
      <c r="CC16">
        <f t="shared" si="7"/>
        <v>103.17544959476389</v>
      </c>
    </row>
    <row r="17" spans="2:80" x14ac:dyDescent="0.2">
      <c r="B17" s="1" t="s">
        <v>1283</v>
      </c>
      <c r="H17" s="8" t="s">
        <v>173</v>
      </c>
      <c r="I17" s="5">
        <f>J16/100 -1</f>
        <v>5.0321286198738546E-2</v>
      </c>
      <c r="S17" s="8" t="s">
        <v>173</v>
      </c>
      <c r="T17" s="5">
        <f>U16/100 -1</f>
        <v>7.7107116453301039E-2</v>
      </c>
      <c r="W17" s="1" t="s">
        <v>1397</v>
      </c>
      <c r="AC17" s="8" t="s">
        <v>173</v>
      </c>
      <c r="AD17" s="5">
        <f>AE16/100 -1</f>
        <v>8.1661201442186915E-3</v>
      </c>
      <c r="AG17" s="1" t="s">
        <v>1285</v>
      </c>
      <c r="AM17" s="8" t="s">
        <v>173</v>
      </c>
      <c r="AN17" s="5">
        <f>AO16/100 -1</f>
        <v>2.7917646999350065E-2</v>
      </c>
      <c r="AQ17" s="1" t="s">
        <v>2378</v>
      </c>
      <c r="AW17" s="8" t="s">
        <v>173</v>
      </c>
      <c r="AX17" s="5">
        <f>AY16/100 -1</f>
        <v>-6.0716225270041058E-4</v>
      </c>
      <c r="BA17" s="1" t="s">
        <v>1285</v>
      </c>
      <c r="BG17" s="8" t="s">
        <v>173</v>
      </c>
      <c r="BH17" s="5">
        <f>BI16/100 -1</f>
        <v>2.7813837905530603E-2</v>
      </c>
      <c r="BK17" s="1" t="s">
        <v>2381</v>
      </c>
      <c r="BQ17" s="8" t="s">
        <v>173</v>
      </c>
      <c r="BR17" s="5">
        <f>BS16/100 -1</f>
        <v>3.1754495947638794E-2</v>
      </c>
      <c r="BU17" s="1" t="s">
        <v>2420</v>
      </c>
      <c r="CA17" s="8" t="s">
        <v>173</v>
      </c>
      <c r="CB17" s="5">
        <f>CC16/100 -1</f>
        <v>3.1754495947638794E-2</v>
      </c>
    </row>
    <row r="18" spans="2:80" x14ac:dyDescent="0.2">
      <c r="B18" s="1" t="s">
        <v>1284</v>
      </c>
      <c r="H18" s="9" t="s">
        <v>181</v>
      </c>
      <c r="I18" s="5">
        <f>_xlfn.STDEV.S(I5:I16)*12^0.5</f>
        <v>7.10632176944649E-2</v>
      </c>
      <c r="M18" s="2" t="s">
        <v>1395</v>
      </c>
      <c r="S18" s="9" t="s">
        <v>181</v>
      </c>
      <c r="T18" s="5">
        <f>_xlfn.STDEV.S(T5:T16)*12^0.5</f>
        <v>6.5900441438720134E-2</v>
      </c>
      <c r="W18" s="1" t="s">
        <v>1284</v>
      </c>
      <c r="AC18" s="9" t="s">
        <v>181</v>
      </c>
      <c r="AD18" s="5">
        <f>_xlfn.STDEV.S(AD5:AD16)*12^0.5</f>
        <v>9.6020693792346845E-2</v>
      </c>
      <c r="AG18" s="1" t="s">
        <v>1288</v>
      </c>
      <c r="AM18" s="9" t="s">
        <v>181</v>
      </c>
      <c r="AN18" s="5">
        <f>_xlfn.STDEV.S(AN5:AN16)*12^0.5</f>
        <v>5.1926871656205124E-2</v>
      </c>
      <c r="AQ18" s="1" t="s">
        <v>1282</v>
      </c>
      <c r="AW18" s="9" t="s">
        <v>181</v>
      </c>
      <c r="AX18" s="5">
        <f>_xlfn.STDEV.S(AX5:AX16)*12^0.5</f>
        <v>8.3002185075290197E-2</v>
      </c>
      <c r="BA18" s="1" t="s">
        <v>1288</v>
      </c>
      <c r="BG18" s="9" t="s">
        <v>181</v>
      </c>
      <c r="BH18" s="5">
        <f>_xlfn.STDEV.S(BH5:BH16)*12^0.5</f>
        <v>5.1952592025632537E-2</v>
      </c>
      <c r="BK18" s="1" t="s">
        <v>1284</v>
      </c>
      <c r="BQ18" s="9" t="s">
        <v>181</v>
      </c>
      <c r="BR18" s="5">
        <f>_xlfn.STDEV.S(BR5:BR16)*12^0.5</f>
        <v>8.791264259065773E-2</v>
      </c>
      <c r="BU18" s="1" t="s">
        <v>1285</v>
      </c>
      <c r="CA18" s="9" t="s">
        <v>181</v>
      </c>
      <c r="CB18" s="5">
        <f>_xlfn.STDEV.S(CB5:CB16)*12^0.5</f>
        <v>8.791264259065773E-2</v>
      </c>
    </row>
    <row r="19" spans="2:80" x14ac:dyDescent="0.2">
      <c r="B19" s="1" t="s">
        <v>1285</v>
      </c>
      <c r="H19" s="4" t="s">
        <v>171</v>
      </c>
      <c r="I19" s="7">
        <f>(I17-I1)/I18</f>
        <v>0.285960682024132</v>
      </c>
      <c r="M19" s="1" t="s">
        <v>1285</v>
      </c>
      <c r="S19" s="4" t="s">
        <v>171</v>
      </c>
      <c r="T19" s="7">
        <f>(T17-I1)/T18</f>
        <v>0.71482247197244142</v>
      </c>
      <c r="W19" s="1" t="s">
        <v>2379</v>
      </c>
      <c r="AC19" s="4" t="s">
        <v>171</v>
      </c>
      <c r="AD19" s="7">
        <f>(AD17-I1)/AD18</f>
        <v>-0.22738723282919601</v>
      </c>
      <c r="AG19" s="1" t="s">
        <v>1289</v>
      </c>
      <c r="AM19" s="4" t="s">
        <v>171</v>
      </c>
      <c r="AN19" s="7">
        <f>(AN17-I1)/AN18</f>
        <v>-4.0101645530211678E-2</v>
      </c>
      <c r="AQ19" s="1" t="s">
        <v>1284</v>
      </c>
      <c r="AW19" s="4" t="s">
        <v>171</v>
      </c>
      <c r="AX19" s="7">
        <f>(AX17-I1)/AX18</f>
        <v>-0.36875128317329298</v>
      </c>
      <c r="BA19" s="1" t="s">
        <v>1289</v>
      </c>
      <c r="BG19" s="4" t="s">
        <v>171</v>
      </c>
      <c r="BH19" s="7">
        <f>(BH17-I1)/BH18</f>
        <v>-4.2079942679102138E-2</v>
      </c>
      <c r="BK19" s="1" t="s">
        <v>1288</v>
      </c>
      <c r="BQ19" s="4" t="s">
        <v>171</v>
      </c>
      <c r="BR19" s="7">
        <f>(BR17-I1)/BR18</f>
        <v>1.9957265484648753E-2</v>
      </c>
      <c r="BU19" s="1" t="s">
        <v>1288</v>
      </c>
      <c r="CA19" s="4" t="s">
        <v>171</v>
      </c>
      <c r="CB19" s="7">
        <f>(CB17-I1)/CB18</f>
        <v>1.9957265484648753E-2</v>
      </c>
    </row>
    <row r="20" spans="2:80" x14ac:dyDescent="0.2">
      <c r="B20" s="1" t="s">
        <v>1286</v>
      </c>
      <c r="H20" s="8" t="s">
        <v>178</v>
      </c>
      <c r="I20" s="5">
        <f>_xlfn.STDEV.S(K5:K8)*12^0.5</f>
        <v>5.0861675159200183E-2</v>
      </c>
      <c r="M20" s="1" t="s">
        <v>1396</v>
      </c>
      <c r="S20" s="8" t="s">
        <v>178</v>
      </c>
      <c r="T20" s="5">
        <f>_xlfn.STDEV.S(V5:V9)*12^0.5</f>
        <v>5.4209261201385139E-2</v>
      </c>
      <c r="W20" s="1" t="s">
        <v>2380</v>
      </c>
      <c r="AC20" s="8" t="s">
        <v>178</v>
      </c>
      <c r="AD20" s="5">
        <f>_xlfn.STDEV.S(AF5:AF11)*12^0.5</f>
        <v>3.2828471963047126E-2</v>
      </c>
      <c r="AG20" s="1" t="s">
        <v>1397</v>
      </c>
      <c r="AM20" s="8" t="s">
        <v>178</v>
      </c>
      <c r="AN20" s="5">
        <f>_xlfn.STDEV.S(AP5:AP8)*12^0.5</f>
        <v>3.1054146261006759E-2</v>
      </c>
      <c r="AQ20" s="1" t="s">
        <v>2379</v>
      </c>
      <c r="AW20" s="8" t="s">
        <v>178</v>
      </c>
      <c r="AX20" s="5">
        <f>_xlfn.STDEV.S(AZ5:AZ11)*12^0.5</f>
        <v>1.8517482087398986E-2</v>
      </c>
      <c r="BA20" s="1" t="s">
        <v>1397</v>
      </c>
      <c r="BG20" s="8" t="s">
        <v>178</v>
      </c>
      <c r="BH20" s="5">
        <f>_xlfn.STDEV.S(BJ5:BJ10)*12^0.5</f>
        <v>3.0999838709257828E-2</v>
      </c>
      <c r="BK20" s="1" t="s">
        <v>1397</v>
      </c>
      <c r="BQ20" s="8" t="s">
        <v>178</v>
      </c>
      <c r="BR20" s="5">
        <f>_xlfn.STDEV.S(BT5:BT10)*12^0.5</f>
        <v>3.3305254840640404E-2</v>
      </c>
      <c r="BU20" s="1" t="s">
        <v>1289</v>
      </c>
      <c r="CA20" s="8" t="s">
        <v>178</v>
      </c>
      <c r="CB20" s="5">
        <f>_xlfn.STDEV.S(CD5:CD10)*12^0.5</f>
        <v>3.3305254840640404E-2</v>
      </c>
    </row>
    <row r="21" spans="2:80" x14ac:dyDescent="0.2">
      <c r="B21" s="1" t="s">
        <v>1287</v>
      </c>
      <c r="H21" s="8" t="s">
        <v>177</v>
      </c>
      <c r="I21" s="7">
        <f>(I17-I1)/I20</f>
        <v>0.39954024587534065</v>
      </c>
      <c r="M21" s="1" t="s">
        <v>1284</v>
      </c>
      <c r="S21" s="8" t="s">
        <v>177</v>
      </c>
      <c r="T21" s="7">
        <f>(T17-I1)/T20</f>
        <v>0.86898650542939648</v>
      </c>
      <c r="W21" s="1" t="s">
        <v>1282</v>
      </c>
      <c r="AC21" s="8" t="s">
        <v>177</v>
      </c>
      <c r="AD21" s="7">
        <f>(AD17-I1)/AD20</f>
        <v>-0.66508973918610303</v>
      </c>
      <c r="AG21" s="1" t="s">
        <v>1398</v>
      </c>
      <c r="AM21" s="8" t="s">
        <v>177</v>
      </c>
      <c r="AN21" s="7">
        <f>(AN17-I1)/AN20</f>
        <v>-6.7055554615734092E-2</v>
      </c>
      <c r="AQ21" s="1" t="s">
        <v>2380</v>
      </c>
      <c r="AW21" s="8" t="s">
        <v>177</v>
      </c>
      <c r="AX21" s="7">
        <f>(AX17-I1)/AX20</f>
        <v>-1.6528792688034171</v>
      </c>
      <c r="BA21" s="1" t="s">
        <v>1398</v>
      </c>
      <c r="BG21" s="8" t="s">
        <v>177</v>
      </c>
      <c r="BH21" s="7">
        <f>(BH17-I1)/BH20</f>
        <v>-7.0521724805507391E-2</v>
      </c>
      <c r="BK21" s="1" t="s">
        <v>1282</v>
      </c>
      <c r="BQ21" s="8" t="s">
        <v>177</v>
      </c>
      <c r="BR21" s="7">
        <f>(BR17-I1)/BR20</f>
        <v>5.2679253049818714E-2</v>
      </c>
      <c r="BU21" s="1" t="s">
        <v>1397</v>
      </c>
      <c r="CA21" s="8" t="s">
        <v>177</v>
      </c>
      <c r="CB21" s="7">
        <f>(CB17-I1)/CB20</f>
        <v>5.2679253049818714E-2</v>
      </c>
    </row>
    <row r="22" spans="2:80" x14ac:dyDescent="0.2">
      <c r="B22" s="1" t="s">
        <v>1288</v>
      </c>
      <c r="H22" s="6" t="s">
        <v>179</v>
      </c>
      <c r="I22" s="5">
        <f>K8</f>
        <v>-2.3800000000000002E-2</v>
      </c>
      <c r="M22" s="1" t="s">
        <v>1288</v>
      </c>
      <c r="S22" s="6" t="s">
        <v>179</v>
      </c>
      <c r="T22" s="5">
        <f>T16</f>
        <v>-2.0400000000000001E-2</v>
      </c>
      <c r="W22" s="1" t="s">
        <v>1396</v>
      </c>
      <c r="AC22" s="6" t="s">
        <v>179</v>
      </c>
      <c r="AD22" s="5">
        <f>AD16+AD15+AD14</f>
        <v>-6.5499999999999989E-2</v>
      </c>
      <c r="AG22" s="1" t="s">
        <v>1399</v>
      </c>
      <c r="AM22" s="6" t="s">
        <v>179</v>
      </c>
      <c r="AN22" s="5">
        <f>AN5+AN6</f>
        <v>-2.5999999999999999E-2</v>
      </c>
      <c r="AQ22" s="1" t="s">
        <v>1396</v>
      </c>
      <c r="AW22" s="6" t="s">
        <v>179</v>
      </c>
      <c r="AX22" s="5">
        <f>AX5+AX6</f>
        <v>-2.52E-2</v>
      </c>
      <c r="BA22" s="1" t="s">
        <v>1399</v>
      </c>
      <c r="BG22" s="6" t="s">
        <v>179</v>
      </c>
      <c r="BH22" s="5">
        <f>BH5+BH6</f>
        <v>-2.5999999999999999E-2</v>
      </c>
      <c r="BK22" s="1" t="s">
        <v>2378</v>
      </c>
      <c r="BQ22" s="6" t="s">
        <v>179</v>
      </c>
      <c r="BR22" s="5">
        <f>BR14+BR15+BR16</f>
        <v>-6.0299999999999992E-2</v>
      </c>
      <c r="BU22" s="1" t="s">
        <v>1398</v>
      </c>
      <c r="CA22" s="6" t="s">
        <v>179</v>
      </c>
      <c r="CB22" s="5">
        <f>CB14+CB15+CB16</f>
        <v>-6.0299999999999992E-2</v>
      </c>
    </row>
    <row r="23" spans="2:80" x14ac:dyDescent="0.2">
      <c r="B23" s="1" t="s">
        <v>1289</v>
      </c>
      <c r="H23" s="6"/>
      <c r="M23" s="1" t="s">
        <v>1289</v>
      </c>
      <c r="S23" s="6"/>
      <c r="W23" s="1" t="s">
        <v>2381</v>
      </c>
      <c r="AG23" s="1" t="s">
        <v>1282</v>
      </c>
      <c r="AQ23" s="1" t="s">
        <v>1397</v>
      </c>
      <c r="BA23" s="1" t="s">
        <v>1282</v>
      </c>
      <c r="BK23" s="1" t="s">
        <v>1396</v>
      </c>
      <c r="BU23" s="1" t="s">
        <v>1399</v>
      </c>
    </row>
    <row r="24" spans="2:80" x14ac:dyDescent="0.2">
      <c r="B24" s="1" t="s">
        <v>1290</v>
      </c>
      <c r="M24" s="1" t="s">
        <v>1397</v>
      </c>
      <c r="W24" s="1" t="s">
        <v>1400</v>
      </c>
      <c r="AG24" s="1" t="s">
        <v>2421</v>
      </c>
      <c r="AQ24" s="1" t="s">
        <v>1400</v>
      </c>
      <c r="BA24" s="1" t="s">
        <v>2421</v>
      </c>
      <c r="BK24" s="1" t="s">
        <v>1400</v>
      </c>
      <c r="BU24" s="1" t="s">
        <v>1282</v>
      </c>
    </row>
    <row r="25" spans="2:80" x14ac:dyDescent="0.2">
      <c r="M25" s="1" t="s">
        <v>1398</v>
      </c>
      <c r="AQ25" s="1" t="s">
        <v>1283</v>
      </c>
      <c r="BK25" s="1" t="s">
        <v>2380</v>
      </c>
      <c r="BU25" s="1" t="s">
        <v>2421</v>
      </c>
    </row>
    <row r="26" spans="2:80" x14ac:dyDescent="0.2">
      <c r="B26" s="1" t="s">
        <v>1291</v>
      </c>
      <c r="M26" s="1" t="s">
        <v>1399</v>
      </c>
      <c r="W26" s="1" t="s">
        <v>1292</v>
      </c>
      <c r="AG26" s="1" t="s">
        <v>1293</v>
      </c>
      <c r="BA26" s="2" t="s">
        <v>2822</v>
      </c>
    </row>
    <row r="27" spans="2:80" x14ac:dyDescent="0.2">
      <c r="B27" s="1" t="s">
        <v>1292</v>
      </c>
      <c r="M27" s="1" t="s">
        <v>1282</v>
      </c>
      <c r="W27" s="1" t="s">
        <v>1298</v>
      </c>
      <c r="AG27" s="1" t="s">
        <v>1296</v>
      </c>
      <c r="AQ27" s="2" t="s">
        <v>2822</v>
      </c>
      <c r="BA27" s="1" t="s">
        <v>1293</v>
      </c>
      <c r="BK27" s="2" t="s">
        <v>2822</v>
      </c>
      <c r="BU27" s="2" t="s">
        <v>2822</v>
      </c>
    </row>
    <row r="28" spans="2:80" x14ac:dyDescent="0.2">
      <c r="B28" s="1" t="s">
        <v>1293</v>
      </c>
      <c r="M28" s="1" t="s">
        <v>1400</v>
      </c>
      <c r="W28" s="1" t="s">
        <v>1299</v>
      </c>
      <c r="AG28" s="1" t="s">
        <v>1295</v>
      </c>
      <c r="AQ28" s="1" t="s">
        <v>1295</v>
      </c>
      <c r="BA28" s="1" t="s">
        <v>1296</v>
      </c>
      <c r="BK28" s="1" t="s">
        <v>1292</v>
      </c>
      <c r="BU28" s="1" t="s">
        <v>1293</v>
      </c>
    </row>
    <row r="29" spans="2:80" x14ac:dyDescent="0.2">
      <c r="B29" s="1" t="s">
        <v>1294</v>
      </c>
      <c r="W29" s="1" t="s">
        <v>1291</v>
      </c>
      <c r="AG29" s="1" t="s">
        <v>1294</v>
      </c>
      <c r="AQ29" s="1" t="s">
        <v>1292</v>
      </c>
      <c r="BA29" s="1" t="s">
        <v>1295</v>
      </c>
      <c r="BK29" s="1" t="s">
        <v>1298</v>
      </c>
      <c r="BU29" s="1" t="s">
        <v>1296</v>
      </c>
    </row>
    <row r="30" spans="2:80" x14ac:dyDescent="0.2">
      <c r="B30" s="1" t="s">
        <v>1295</v>
      </c>
      <c r="M30" s="2" t="s">
        <v>1401</v>
      </c>
      <c r="W30" s="1" t="s">
        <v>2382</v>
      </c>
      <c r="AG30" s="1" t="s">
        <v>1298</v>
      </c>
      <c r="AQ30" s="1" t="s">
        <v>2382</v>
      </c>
      <c r="BA30" s="1" t="s">
        <v>1294</v>
      </c>
      <c r="BK30" s="1" t="s">
        <v>1299</v>
      </c>
      <c r="BU30" s="1" t="s">
        <v>1295</v>
      </c>
    </row>
    <row r="31" spans="2:80" x14ac:dyDescent="0.2">
      <c r="B31" s="1" t="s">
        <v>1296</v>
      </c>
      <c r="M31" s="1" t="s">
        <v>1293</v>
      </c>
      <c r="W31" s="1" t="s">
        <v>1297</v>
      </c>
      <c r="AG31" s="1" t="s">
        <v>1292</v>
      </c>
      <c r="AQ31" s="1" t="s">
        <v>1294</v>
      </c>
      <c r="BA31" s="1" t="s">
        <v>1298</v>
      </c>
      <c r="BK31" s="1" t="s">
        <v>1291</v>
      </c>
      <c r="BU31" s="1" t="s">
        <v>1294</v>
      </c>
    </row>
    <row r="32" spans="2:80" x14ac:dyDescent="0.2">
      <c r="B32" s="1" t="s">
        <v>1297</v>
      </c>
      <c r="M32" s="1" t="s">
        <v>1296</v>
      </c>
      <c r="W32" s="1" t="s">
        <v>1295</v>
      </c>
      <c r="AG32" s="1" t="s">
        <v>1297</v>
      </c>
      <c r="AQ32" s="1" t="s">
        <v>1299</v>
      </c>
      <c r="BA32" s="1" t="s">
        <v>1292</v>
      </c>
      <c r="BK32" s="1" t="s">
        <v>2382</v>
      </c>
      <c r="BU32" s="1" t="s">
        <v>1298</v>
      </c>
    </row>
    <row r="33" spans="2:73" x14ac:dyDescent="0.2">
      <c r="B33" s="1" t="s">
        <v>1298</v>
      </c>
      <c r="M33" s="1" t="s">
        <v>1295</v>
      </c>
      <c r="W33" s="1" t="s">
        <v>2383</v>
      </c>
      <c r="AG33" s="1" t="s">
        <v>1299</v>
      </c>
      <c r="AQ33" s="1" t="s">
        <v>1291</v>
      </c>
      <c r="BA33" s="1" t="s">
        <v>1297</v>
      </c>
      <c r="BK33" s="1" t="s">
        <v>1297</v>
      </c>
      <c r="BU33" s="1" t="s">
        <v>1292</v>
      </c>
    </row>
    <row r="34" spans="2:73" x14ac:dyDescent="0.2">
      <c r="B34" s="1" t="s">
        <v>1299</v>
      </c>
      <c r="M34" s="1" t="s">
        <v>1294</v>
      </c>
      <c r="W34" s="1" t="s">
        <v>1294</v>
      </c>
      <c r="AG34" s="1" t="s">
        <v>1291</v>
      </c>
      <c r="AQ34" s="1" t="s">
        <v>2823</v>
      </c>
      <c r="BA34" s="1" t="s">
        <v>1299</v>
      </c>
      <c r="BK34" s="1" t="s">
        <v>1295</v>
      </c>
      <c r="BU34" s="1" t="s">
        <v>1297</v>
      </c>
    </row>
    <row r="35" spans="2:73" x14ac:dyDescent="0.2">
      <c r="B35" s="1" t="s">
        <v>1300</v>
      </c>
      <c r="M35" s="1" t="s">
        <v>1298</v>
      </c>
      <c r="W35" s="1" t="s">
        <v>2384</v>
      </c>
      <c r="AG35" s="1" t="s">
        <v>2422</v>
      </c>
      <c r="AQ35" s="1" t="s">
        <v>2384</v>
      </c>
      <c r="BA35" s="1" t="s">
        <v>1291</v>
      </c>
      <c r="BK35" s="1" t="s">
        <v>2383</v>
      </c>
      <c r="BU35" s="1" t="s">
        <v>1299</v>
      </c>
    </row>
    <row r="36" spans="2:73" x14ac:dyDescent="0.2">
      <c r="M36" s="1" t="s">
        <v>1292</v>
      </c>
      <c r="AQ36" s="1" t="s">
        <v>1298</v>
      </c>
      <c r="BA36" s="1" t="s">
        <v>2422</v>
      </c>
      <c r="BK36" s="1" t="s">
        <v>1294</v>
      </c>
      <c r="BU36" s="1" t="s">
        <v>1291</v>
      </c>
    </row>
    <row r="37" spans="2:73" x14ac:dyDescent="0.2">
      <c r="B37" s="1" t="s">
        <v>1301</v>
      </c>
      <c r="M37" s="1" t="s">
        <v>1297</v>
      </c>
      <c r="W37" s="1" t="s">
        <v>1404</v>
      </c>
      <c r="AG37" s="1" t="s">
        <v>1305</v>
      </c>
      <c r="AQ37" s="1" t="s">
        <v>2383</v>
      </c>
      <c r="BK37" s="1" t="s">
        <v>2384</v>
      </c>
      <c r="BU37" s="1" t="s">
        <v>2422</v>
      </c>
    </row>
    <row r="38" spans="2:73" x14ac:dyDescent="0.2">
      <c r="B38" s="1" t="s">
        <v>1302</v>
      </c>
      <c r="M38" s="1" t="s">
        <v>1299</v>
      </c>
      <c r="W38" s="1" t="s">
        <v>1301</v>
      </c>
      <c r="AG38" s="1" t="s">
        <v>1306</v>
      </c>
      <c r="BA38" s="2" t="s">
        <v>2824</v>
      </c>
    </row>
    <row r="39" spans="2:73" x14ac:dyDescent="0.2">
      <c r="B39" s="1" t="s">
        <v>1303</v>
      </c>
      <c r="M39" s="1" t="s">
        <v>1291</v>
      </c>
      <c r="W39" s="1" t="s">
        <v>1309</v>
      </c>
      <c r="AG39" s="1" t="s">
        <v>1304</v>
      </c>
      <c r="AQ39" s="2" t="s">
        <v>2824</v>
      </c>
      <c r="BA39" s="1" t="s">
        <v>1305</v>
      </c>
      <c r="BK39" s="2" t="s">
        <v>2824</v>
      </c>
      <c r="BU39" s="2" t="s">
        <v>2824</v>
      </c>
    </row>
    <row r="40" spans="2:73" x14ac:dyDescent="0.2">
      <c r="B40" s="1" t="s">
        <v>1304</v>
      </c>
      <c r="M40" s="1" t="s">
        <v>1402</v>
      </c>
      <c r="W40" s="1" t="s">
        <v>1303</v>
      </c>
      <c r="AG40" s="1" t="s">
        <v>1301</v>
      </c>
      <c r="AQ40" s="1" t="s">
        <v>1305</v>
      </c>
      <c r="BA40" s="1" t="s">
        <v>1306</v>
      </c>
      <c r="BK40" s="1" t="s">
        <v>1305</v>
      </c>
      <c r="BU40" s="1" t="s">
        <v>1305</v>
      </c>
    </row>
    <row r="41" spans="2:73" x14ac:dyDescent="0.2">
      <c r="B41" s="1" t="s">
        <v>1305</v>
      </c>
      <c r="W41" s="1" t="s">
        <v>1305</v>
      </c>
      <c r="AG41" s="1" t="s">
        <v>1302</v>
      </c>
      <c r="AQ41" s="1" t="s">
        <v>1309</v>
      </c>
      <c r="BA41" s="1" t="s">
        <v>1304</v>
      </c>
      <c r="BK41" s="1" t="s">
        <v>1303</v>
      </c>
      <c r="BU41" s="1" t="s">
        <v>1306</v>
      </c>
    </row>
    <row r="42" spans="2:73" x14ac:dyDescent="0.2">
      <c r="B42" s="1" t="s">
        <v>1306</v>
      </c>
      <c r="M42" s="2" t="s">
        <v>1403</v>
      </c>
      <c r="W42" s="1" t="s">
        <v>1304</v>
      </c>
      <c r="AG42" s="1" t="s">
        <v>1303</v>
      </c>
      <c r="AQ42" s="1" t="s">
        <v>1303</v>
      </c>
      <c r="BA42" s="1" t="s">
        <v>1301</v>
      </c>
      <c r="BK42" s="1" t="s">
        <v>1304</v>
      </c>
      <c r="BU42" s="1" t="s">
        <v>1304</v>
      </c>
    </row>
    <row r="43" spans="2:73" x14ac:dyDescent="0.2">
      <c r="B43" s="1" t="s">
        <v>1307</v>
      </c>
      <c r="M43" s="1" t="s">
        <v>1302</v>
      </c>
      <c r="W43" s="1" t="s">
        <v>1302</v>
      </c>
      <c r="AG43" s="1" t="s">
        <v>2423</v>
      </c>
      <c r="AQ43" s="1" t="s">
        <v>1302</v>
      </c>
      <c r="BA43" s="1" t="s">
        <v>1302</v>
      </c>
      <c r="BK43" s="1" t="s">
        <v>1404</v>
      </c>
      <c r="BU43" s="1" t="s">
        <v>1301</v>
      </c>
    </row>
    <row r="44" spans="2:73" x14ac:dyDescent="0.2">
      <c r="B44" s="1" t="s">
        <v>1308</v>
      </c>
      <c r="M44" s="1" t="s">
        <v>1301</v>
      </c>
      <c r="W44" s="1" t="s">
        <v>2385</v>
      </c>
      <c r="AG44" s="1" t="s">
        <v>2424</v>
      </c>
      <c r="AQ44" s="1" t="s">
        <v>1304</v>
      </c>
      <c r="BA44" s="1" t="s">
        <v>1303</v>
      </c>
      <c r="BK44" s="1" t="s">
        <v>1301</v>
      </c>
      <c r="BU44" s="1" t="s">
        <v>1302</v>
      </c>
    </row>
    <row r="45" spans="2:73" x14ac:dyDescent="0.2">
      <c r="B45" s="1" t="s">
        <v>1309</v>
      </c>
      <c r="M45" s="1" t="s">
        <v>1305</v>
      </c>
      <c r="W45" s="1" t="s">
        <v>2386</v>
      </c>
      <c r="AG45" s="1" t="s">
        <v>2425</v>
      </c>
      <c r="AQ45" s="1" t="s">
        <v>1301</v>
      </c>
      <c r="BA45" s="1" t="s">
        <v>2423</v>
      </c>
      <c r="BK45" s="1" t="s">
        <v>1302</v>
      </c>
      <c r="BU45" s="1" t="s">
        <v>1303</v>
      </c>
    </row>
    <row r="46" spans="2:73" x14ac:dyDescent="0.2">
      <c r="B46" s="1" t="s">
        <v>1310</v>
      </c>
      <c r="M46" s="1" t="s">
        <v>1303</v>
      </c>
      <c r="W46" s="1" t="s">
        <v>1405</v>
      </c>
      <c r="AG46" s="1" t="s">
        <v>1310</v>
      </c>
      <c r="AQ46" s="1" t="s">
        <v>1404</v>
      </c>
      <c r="BA46" s="1" t="s">
        <v>2424</v>
      </c>
      <c r="BK46" s="1" t="s">
        <v>1309</v>
      </c>
      <c r="BU46" s="1" t="s">
        <v>2423</v>
      </c>
    </row>
    <row r="47" spans="2:73" x14ac:dyDescent="0.2">
      <c r="M47" s="1" t="s">
        <v>1304</v>
      </c>
      <c r="AQ47" s="1" t="s">
        <v>2825</v>
      </c>
      <c r="BA47" s="1" t="s">
        <v>2425</v>
      </c>
      <c r="BK47" s="1" t="s">
        <v>3016</v>
      </c>
      <c r="BU47" s="1" t="s">
        <v>2424</v>
      </c>
    </row>
    <row r="48" spans="2:73" x14ac:dyDescent="0.2">
      <c r="B48" s="1" t="s">
        <v>1311</v>
      </c>
      <c r="M48" s="1" t="s">
        <v>1306</v>
      </c>
      <c r="W48" s="1" t="s">
        <v>1311</v>
      </c>
      <c r="AG48" s="1" t="s">
        <v>1311</v>
      </c>
      <c r="AQ48" s="1" t="s">
        <v>2826</v>
      </c>
      <c r="BA48" s="1" t="s">
        <v>1310</v>
      </c>
      <c r="BK48" s="1" t="s">
        <v>1306</v>
      </c>
      <c r="BU48" s="1" t="s">
        <v>2425</v>
      </c>
    </row>
    <row r="49" spans="2:73" x14ac:dyDescent="0.2">
      <c r="B49" s="1" t="s">
        <v>1312</v>
      </c>
      <c r="M49" s="1" t="s">
        <v>1404</v>
      </c>
      <c r="W49" s="1" t="s">
        <v>1318</v>
      </c>
      <c r="AG49" s="1" t="s">
        <v>1317</v>
      </c>
      <c r="AQ49" s="1" t="s">
        <v>2423</v>
      </c>
      <c r="BK49" s="1" t="s">
        <v>3017</v>
      </c>
      <c r="BU49" s="1" t="s">
        <v>1310</v>
      </c>
    </row>
    <row r="50" spans="2:73" x14ac:dyDescent="0.2">
      <c r="B50" s="1" t="s">
        <v>1313</v>
      </c>
      <c r="M50" s="1" t="s">
        <v>1405</v>
      </c>
      <c r="W50" s="1" t="s">
        <v>2387</v>
      </c>
      <c r="AG50" s="1" t="s">
        <v>1313</v>
      </c>
      <c r="BA50" s="2" t="s">
        <v>2827</v>
      </c>
    </row>
    <row r="51" spans="2:73" x14ac:dyDescent="0.2">
      <c r="B51" s="1" t="s">
        <v>1314</v>
      </c>
      <c r="M51" s="1" t="s">
        <v>1406</v>
      </c>
      <c r="W51" s="1" t="s">
        <v>1314</v>
      </c>
      <c r="AG51" s="1" t="s">
        <v>1314</v>
      </c>
      <c r="AQ51" s="2" t="s">
        <v>2827</v>
      </c>
      <c r="BA51" s="1" t="s">
        <v>1311</v>
      </c>
      <c r="BK51" s="2" t="s">
        <v>2827</v>
      </c>
      <c r="BU51" s="2" t="s">
        <v>2827</v>
      </c>
    </row>
    <row r="52" spans="2:73" x14ac:dyDescent="0.2">
      <c r="B52" s="1" t="s">
        <v>1315</v>
      </c>
      <c r="M52" s="1" t="s">
        <v>1407</v>
      </c>
      <c r="W52" s="1" t="s">
        <v>2388</v>
      </c>
      <c r="AG52" s="1" t="s">
        <v>1315</v>
      </c>
      <c r="AQ52" s="1" t="s">
        <v>1311</v>
      </c>
      <c r="BA52" s="1" t="s">
        <v>1317</v>
      </c>
      <c r="BK52" s="1" t="s">
        <v>1311</v>
      </c>
      <c r="BU52" s="1" t="s">
        <v>1311</v>
      </c>
    </row>
    <row r="53" spans="2:73" x14ac:dyDescent="0.2">
      <c r="B53" s="1" t="s">
        <v>1316</v>
      </c>
      <c r="W53" s="1" t="s">
        <v>2389</v>
      </c>
      <c r="AG53" s="1" t="s">
        <v>1312</v>
      </c>
      <c r="AQ53" s="1" t="s">
        <v>1318</v>
      </c>
      <c r="BA53" s="1" t="s">
        <v>1313</v>
      </c>
      <c r="BK53" s="1" t="s">
        <v>1318</v>
      </c>
      <c r="BU53" s="1" t="s">
        <v>1317</v>
      </c>
    </row>
    <row r="54" spans="2:73" x14ac:dyDescent="0.2">
      <c r="B54" s="1" t="s">
        <v>1317</v>
      </c>
      <c r="M54" s="2" t="s">
        <v>1408</v>
      </c>
      <c r="W54" s="1" t="s">
        <v>2390</v>
      </c>
      <c r="AG54" s="1" t="s">
        <v>1316</v>
      </c>
      <c r="AQ54" s="1" t="s">
        <v>2387</v>
      </c>
      <c r="BA54" s="1" t="s">
        <v>1314</v>
      </c>
      <c r="BK54" s="1" t="s">
        <v>2387</v>
      </c>
      <c r="BU54" s="1" t="s">
        <v>1313</v>
      </c>
    </row>
    <row r="55" spans="2:73" x14ac:dyDescent="0.2">
      <c r="B55" s="1" t="s">
        <v>1318</v>
      </c>
      <c r="M55" s="1" t="s">
        <v>1311</v>
      </c>
      <c r="W55" s="1" t="s">
        <v>2391</v>
      </c>
      <c r="AG55" s="1" t="s">
        <v>1318</v>
      </c>
      <c r="AQ55" s="1" t="s">
        <v>1314</v>
      </c>
      <c r="BA55" s="1" t="s">
        <v>1315</v>
      </c>
      <c r="BK55" s="1" t="s">
        <v>1314</v>
      </c>
      <c r="BU55" s="1" t="s">
        <v>1314</v>
      </c>
    </row>
    <row r="56" spans="2:73" x14ac:dyDescent="0.2">
      <c r="B56" s="1" t="s">
        <v>1319</v>
      </c>
      <c r="M56" s="1" t="s">
        <v>1317</v>
      </c>
      <c r="W56" s="1" t="s">
        <v>2392</v>
      </c>
      <c r="AG56" s="1" t="s">
        <v>1409</v>
      </c>
      <c r="AQ56" s="1" t="s">
        <v>2828</v>
      </c>
      <c r="BA56" s="1" t="s">
        <v>1312</v>
      </c>
      <c r="BK56" s="1" t="s">
        <v>2388</v>
      </c>
      <c r="BU56" s="1" t="s">
        <v>1315</v>
      </c>
    </row>
    <row r="57" spans="2:73" x14ac:dyDescent="0.2">
      <c r="B57" s="1" t="s">
        <v>1320</v>
      </c>
      <c r="M57" s="1" t="s">
        <v>1313</v>
      </c>
      <c r="W57" s="1" t="s">
        <v>1319</v>
      </c>
      <c r="AG57" s="1" t="s">
        <v>2426</v>
      </c>
      <c r="AQ57" s="1" t="s">
        <v>2829</v>
      </c>
      <c r="BA57" s="1" t="s">
        <v>1316</v>
      </c>
      <c r="BK57" s="1" t="s">
        <v>2392</v>
      </c>
      <c r="BU57" s="1" t="s">
        <v>1312</v>
      </c>
    </row>
    <row r="58" spans="2:73" x14ac:dyDescent="0.2">
      <c r="M58" s="1" t="s">
        <v>1314</v>
      </c>
      <c r="AQ58" s="1" t="s">
        <v>2389</v>
      </c>
      <c r="BA58" s="1" t="s">
        <v>1318</v>
      </c>
      <c r="BK58" s="1" t="s">
        <v>1313</v>
      </c>
      <c r="BU58" s="1" t="s">
        <v>1316</v>
      </c>
    </row>
    <row r="59" spans="2:73" x14ac:dyDescent="0.2">
      <c r="B59" s="1" t="s">
        <v>1321</v>
      </c>
      <c r="M59" s="1" t="s">
        <v>1315</v>
      </c>
      <c r="W59" s="1" t="s">
        <v>1322</v>
      </c>
      <c r="AG59" s="1" t="s">
        <v>1322</v>
      </c>
      <c r="AQ59" s="1" t="s">
        <v>2391</v>
      </c>
      <c r="BA59" s="1" t="s">
        <v>1409</v>
      </c>
      <c r="BK59" s="1" t="s">
        <v>2828</v>
      </c>
      <c r="BU59" s="1" t="s">
        <v>1318</v>
      </c>
    </row>
    <row r="60" spans="2:73" x14ac:dyDescent="0.2">
      <c r="B60" s="1" t="s">
        <v>1322</v>
      </c>
      <c r="M60" s="1" t="s">
        <v>1312</v>
      </c>
      <c r="W60" s="1" t="s">
        <v>1327</v>
      </c>
      <c r="AG60" s="1" t="s">
        <v>1328</v>
      </c>
      <c r="AQ60" s="1" t="s">
        <v>1320</v>
      </c>
      <c r="BA60" s="1" t="s">
        <v>2426</v>
      </c>
      <c r="BK60" s="1" t="s">
        <v>3018</v>
      </c>
      <c r="BU60" s="1" t="s">
        <v>1409</v>
      </c>
    </row>
    <row r="61" spans="2:73" x14ac:dyDescent="0.2">
      <c r="B61" s="1" t="s">
        <v>1323</v>
      </c>
      <c r="M61" s="1" t="s">
        <v>1316</v>
      </c>
      <c r="W61" s="1" t="s">
        <v>1321</v>
      </c>
      <c r="AG61" s="1" t="s">
        <v>1323</v>
      </c>
      <c r="AQ61" s="1" t="s">
        <v>2392</v>
      </c>
      <c r="BK61" s="1" t="s">
        <v>2389</v>
      </c>
      <c r="BU61" s="1" t="s">
        <v>2426</v>
      </c>
    </row>
    <row r="62" spans="2:73" x14ac:dyDescent="0.2">
      <c r="B62" s="1" t="s">
        <v>1324</v>
      </c>
      <c r="M62" s="1" t="s">
        <v>1318</v>
      </c>
      <c r="W62" s="1" t="s">
        <v>1328</v>
      </c>
      <c r="AG62" s="1" t="s">
        <v>1324</v>
      </c>
      <c r="BA62" s="2" t="s">
        <v>2830</v>
      </c>
    </row>
    <row r="63" spans="2:73" x14ac:dyDescent="0.2">
      <c r="B63" s="1" t="s">
        <v>1325</v>
      </c>
      <c r="M63" s="1" t="s">
        <v>1409</v>
      </c>
      <c r="W63" s="1" t="s">
        <v>1412</v>
      </c>
      <c r="AG63" s="1" t="s">
        <v>1326</v>
      </c>
      <c r="AQ63" s="2" t="s">
        <v>2830</v>
      </c>
      <c r="BA63" s="1" t="s">
        <v>1322</v>
      </c>
      <c r="BK63" s="2" t="s">
        <v>2830</v>
      </c>
      <c r="BU63" s="2" t="s">
        <v>2830</v>
      </c>
    </row>
    <row r="64" spans="2:73" x14ac:dyDescent="0.2">
      <c r="B64" s="1" t="s">
        <v>1326</v>
      </c>
      <c r="M64" s="1" t="s">
        <v>1410</v>
      </c>
      <c r="W64" s="1" t="s">
        <v>1325</v>
      </c>
      <c r="AG64" s="1" t="s">
        <v>1325</v>
      </c>
      <c r="AQ64" s="1" t="s">
        <v>1322</v>
      </c>
      <c r="BA64" s="1" t="s">
        <v>1328</v>
      </c>
      <c r="BK64" s="1" t="s">
        <v>1322</v>
      </c>
      <c r="BU64" s="1" t="s">
        <v>1322</v>
      </c>
    </row>
    <row r="65" spans="2:73" x14ac:dyDescent="0.2">
      <c r="B65" s="1" t="s">
        <v>1327</v>
      </c>
      <c r="W65" s="1" t="s">
        <v>2393</v>
      </c>
      <c r="AG65" s="1" t="s">
        <v>1321</v>
      </c>
      <c r="AQ65" s="1" t="s">
        <v>1321</v>
      </c>
      <c r="BA65" s="1" t="s">
        <v>1323</v>
      </c>
      <c r="BK65" s="1" t="s">
        <v>1321</v>
      </c>
      <c r="BU65" s="1" t="s">
        <v>1328</v>
      </c>
    </row>
    <row r="66" spans="2:73" x14ac:dyDescent="0.2">
      <c r="B66" s="1" t="s">
        <v>1328</v>
      </c>
      <c r="M66" s="2" t="s">
        <v>1411</v>
      </c>
      <c r="W66" s="1" t="s">
        <v>2394</v>
      </c>
      <c r="AG66" s="1" t="s">
        <v>1327</v>
      </c>
      <c r="AQ66" s="1" t="s">
        <v>1327</v>
      </c>
      <c r="BA66" s="1" t="s">
        <v>1324</v>
      </c>
      <c r="BK66" s="1" t="s">
        <v>1327</v>
      </c>
      <c r="BU66" s="1" t="s">
        <v>1323</v>
      </c>
    </row>
    <row r="67" spans="2:73" x14ac:dyDescent="0.2">
      <c r="B67" s="1" t="s">
        <v>1329</v>
      </c>
      <c r="M67" s="1" t="s">
        <v>1322</v>
      </c>
      <c r="W67" s="1" t="s">
        <v>2395</v>
      </c>
      <c r="AG67" s="1" t="s">
        <v>2427</v>
      </c>
      <c r="AQ67" s="1" t="s">
        <v>2831</v>
      </c>
      <c r="BA67" s="1" t="s">
        <v>1326</v>
      </c>
      <c r="BK67" s="1" t="s">
        <v>1328</v>
      </c>
      <c r="BU67" s="1" t="s">
        <v>1324</v>
      </c>
    </row>
    <row r="68" spans="2:73" x14ac:dyDescent="0.2">
      <c r="B68" s="1" t="s">
        <v>1330</v>
      </c>
      <c r="M68" s="1" t="s">
        <v>1321</v>
      </c>
      <c r="W68" s="1" t="s">
        <v>2396</v>
      </c>
      <c r="AG68" s="1" t="s">
        <v>2579</v>
      </c>
      <c r="AQ68" s="1" t="s">
        <v>2832</v>
      </c>
      <c r="BA68" s="1" t="s">
        <v>1325</v>
      </c>
      <c r="BK68" s="1" t="s">
        <v>2833</v>
      </c>
      <c r="BU68" s="1" t="s">
        <v>1326</v>
      </c>
    </row>
    <row r="69" spans="2:73" x14ac:dyDescent="0.2">
      <c r="M69" s="1" t="s">
        <v>1326</v>
      </c>
      <c r="AQ69" s="1" t="s">
        <v>1328</v>
      </c>
      <c r="BA69" s="1" t="s">
        <v>1321</v>
      </c>
      <c r="BK69" s="1" t="s">
        <v>1323</v>
      </c>
      <c r="BU69" s="1" t="s">
        <v>1325</v>
      </c>
    </row>
    <row r="70" spans="2:73" x14ac:dyDescent="0.2">
      <c r="B70" s="1" t="s">
        <v>1331</v>
      </c>
      <c r="M70" s="1" t="s">
        <v>1328</v>
      </c>
      <c r="W70" s="1" t="s">
        <v>1331</v>
      </c>
      <c r="AG70" s="1" t="s">
        <v>1331</v>
      </c>
      <c r="AQ70" s="1" t="s">
        <v>1325</v>
      </c>
      <c r="BA70" s="1" t="s">
        <v>1327</v>
      </c>
      <c r="BK70" s="1" t="s">
        <v>2835</v>
      </c>
      <c r="BU70" s="1" t="s">
        <v>1321</v>
      </c>
    </row>
    <row r="71" spans="2:73" x14ac:dyDescent="0.2">
      <c r="B71" s="1" t="s">
        <v>1332</v>
      </c>
      <c r="M71" s="1" t="s">
        <v>1327</v>
      </c>
      <c r="W71" s="1" t="s">
        <v>1332</v>
      </c>
      <c r="AG71" s="1" t="s">
        <v>1332</v>
      </c>
      <c r="AQ71" s="1" t="s">
        <v>2833</v>
      </c>
      <c r="BA71" s="1" t="s">
        <v>2427</v>
      </c>
      <c r="BK71" s="1" t="s">
        <v>2394</v>
      </c>
      <c r="BU71" s="1" t="s">
        <v>1327</v>
      </c>
    </row>
    <row r="72" spans="2:73" x14ac:dyDescent="0.2">
      <c r="B72" s="1" t="s">
        <v>1333</v>
      </c>
      <c r="M72" s="1" t="s">
        <v>1325</v>
      </c>
      <c r="W72" s="1" t="s">
        <v>1333</v>
      </c>
      <c r="AG72" s="1" t="s">
        <v>1415</v>
      </c>
      <c r="AQ72" s="1" t="s">
        <v>2834</v>
      </c>
      <c r="BA72" s="1" t="s">
        <v>2579</v>
      </c>
      <c r="BK72" s="1" t="s">
        <v>2396</v>
      </c>
      <c r="BU72" s="1" t="s">
        <v>2427</v>
      </c>
    </row>
    <row r="73" spans="2:73" x14ac:dyDescent="0.2">
      <c r="B73" s="1" t="s">
        <v>1334</v>
      </c>
      <c r="M73" s="1" t="s">
        <v>1323</v>
      </c>
      <c r="W73" s="1" t="s">
        <v>1335</v>
      </c>
      <c r="AG73" s="1" t="s">
        <v>1335</v>
      </c>
      <c r="AQ73" s="1" t="s">
        <v>2835</v>
      </c>
      <c r="BK73" s="1" t="s">
        <v>1326</v>
      </c>
      <c r="BU73" s="1" t="s">
        <v>2579</v>
      </c>
    </row>
    <row r="74" spans="2:73" x14ac:dyDescent="0.2">
      <c r="B74" s="1" t="s">
        <v>1335</v>
      </c>
      <c r="M74" s="1" t="s">
        <v>1324</v>
      </c>
      <c r="W74" s="1" t="s">
        <v>1336</v>
      </c>
      <c r="AG74" s="1" t="s">
        <v>1334</v>
      </c>
      <c r="BA74" s="2" t="s">
        <v>2836</v>
      </c>
    </row>
    <row r="75" spans="2:73" x14ac:dyDescent="0.2">
      <c r="B75" s="1" t="s">
        <v>1336</v>
      </c>
      <c r="M75" s="1" t="s">
        <v>1412</v>
      </c>
      <c r="W75" s="1" t="s">
        <v>2397</v>
      </c>
      <c r="AG75" s="1" t="s">
        <v>1336</v>
      </c>
      <c r="AQ75" s="2" t="s">
        <v>2836</v>
      </c>
      <c r="BA75" s="1" t="s">
        <v>1331</v>
      </c>
      <c r="BK75" s="2" t="s">
        <v>2836</v>
      </c>
      <c r="BU75" s="2" t="s">
        <v>2836</v>
      </c>
    </row>
    <row r="76" spans="2:73" x14ac:dyDescent="0.2">
      <c r="B76" s="1" t="s">
        <v>1337</v>
      </c>
      <c r="M76" s="1" t="s">
        <v>1413</v>
      </c>
      <c r="W76" s="1" t="s">
        <v>1337</v>
      </c>
      <c r="AG76" s="1" t="s">
        <v>1337</v>
      </c>
      <c r="AQ76" s="1" t="s">
        <v>1331</v>
      </c>
      <c r="BA76" s="1" t="s">
        <v>1332</v>
      </c>
      <c r="BK76" s="1" t="s">
        <v>1331</v>
      </c>
      <c r="BU76" s="1" t="s">
        <v>1331</v>
      </c>
    </row>
    <row r="77" spans="2:73" x14ac:dyDescent="0.2">
      <c r="B77" s="1" t="s">
        <v>1338</v>
      </c>
      <c r="W77" s="1" t="s">
        <v>2398</v>
      </c>
      <c r="AG77" s="1" t="s">
        <v>1338</v>
      </c>
      <c r="AQ77" s="1" t="s">
        <v>1332</v>
      </c>
      <c r="BA77" s="1" t="s">
        <v>1415</v>
      </c>
      <c r="BK77" s="1" t="s">
        <v>1331</v>
      </c>
      <c r="BU77" s="1" t="s">
        <v>1332</v>
      </c>
    </row>
    <row r="78" spans="2:73" x14ac:dyDescent="0.2">
      <c r="B78" s="1" t="s">
        <v>1339</v>
      </c>
      <c r="M78" s="2" t="s">
        <v>1414</v>
      </c>
      <c r="W78" s="1" t="s">
        <v>1338</v>
      </c>
      <c r="AG78" s="1" t="s">
        <v>1339</v>
      </c>
      <c r="AQ78" s="1" t="s">
        <v>1333</v>
      </c>
      <c r="BA78" s="1" t="s">
        <v>1335</v>
      </c>
      <c r="BK78" s="1" t="s">
        <v>1332</v>
      </c>
      <c r="BU78" s="1" t="s">
        <v>1415</v>
      </c>
    </row>
    <row r="79" spans="2:73" x14ac:dyDescent="0.2">
      <c r="B79" s="1" t="s">
        <v>1340</v>
      </c>
      <c r="M79" s="1" t="s">
        <v>1331</v>
      </c>
      <c r="W79" s="1" t="s">
        <v>2399</v>
      </c>
      <c r="AG79" s="1" t="s">
        <v>1416</v>
      </c>
      <c r="AQ79" s="1" t="s">
        <v>1335</v>
      </c>
      <c r="BA79" s="1" t="s">
        <v>1334</v>
      </c>
      <c r="BK79" s="1" t="s">
        <v>1333</v>
      </c>
      <c r="BU79" s="1" t="s">
        <v>1335</v>
      </c>
    </row>
    <row r="80" spans="2:73" x14ac:dyDescent="0.2">
      <c r="M80" s="1" t="s">
        <v>1332</v>
      </c>
      <c r="AQ80" s="1" t="s">
        <v>1336</v>
      </c>
      <c r="BA80" s="1" t="s">
        <v>1336</v>
      </c>
      <c r="BK80" s="1" t="s">
        <v>1335</v>
      </c>
      <c r="BU80" s="1" t="s">
        <v>1334</v>
      </c>
    </row>
    <row r="81" spans="2:73" x14ac:dyDescent="0.2">
      <c r="B81" s="1" t="s">
        <v>1341</v>
      </c>
      <c r="M81" s="1" t="s">
        <v>1415</v>
      </c>
      <c r="W81" s="1" t="s">
        <v>2400</v>
      </c>
      <c r="AG81" s="1" t="s">
        <v>1341</v>
      </c>
      <c r="AQ81" s="1" t="s">
        <v>2397</v>
      </c>
      <c r="BA81" s="1" t="s">
        <v>1337</v>
      </c>
      <c r="BK81" s="1" t="s">
        <v>1336</v>
      </c>
      <c r="BU81" s="1" t="s">
        <v>1336</v>
      </c>
    </row>
    <row r="82" spans="2:73" x14ac:dyDescent="0.2">
      <c r="B82" s="1" t="s">
        <v>1342</v>
      </c>
      <c r="M82" s="1" t="s">
        <v>1333</v>
      </c>
      <c r="W82" s="1" t="s">
        <v>2401</v>
      </c>
      <c r="AG82" s="1" t="s">
        <v>1342</v>
      </c>
      <c r="AQ82" s="1" t="s">
        <v>1337</v>
      </c>
      <c r="BA82" s="1" t="s">
        <v>1338</v>
      </c>
      <c r="BK82" s="1" t="s">
        <v>1337</v>
      </c>
      <c r="BU82" s="1" t="s">
        <v>1337</v>
      </c>
    </row>
    <row r="83" spans="2:73" x14ac:dyDescent="0.2">
      <c r="B83" s="1" t="s">
        <v>1343</v>
      </c>
      <c r="M83" s="1" t="s">
        <v>1335</v>
      </c>
      <c r="W83" s="1" t="s">
        <v>1345</v>
      </c>
      <c r="AG83" s="1" t="s">
        <v>1344</v>
      </c>
      <c r="AQ83" s="1" t="s">
        <v>2398</v>
      </c>
      <c r="BA83" s="1" t="s">
        <v>1339</v>
      </c>
      <c r="BK83" s="1" t="s">
        <v>2398</v>
      </c>
      <c r="BU83" s="1" t="s">
        <v>1338</v>
      </c>
    </row>
    <row r="84" spans="2:73" x14ac:dyDescent="0.2">
      <c r="B84" s="1" t="s">
        <v>1344</v>
      </c>
      <c r="M84" s="1" t="s">
        <v>1336</v>
      </c>
      <c r="W84" s="1" t="s">
        <v>1346</v>
      </c>
      <c r="AG84" s="1" t="s">
        <v>1421</v>
      </c>
      <c r="AQ84" s="1" t="s">
        <v>1338</v>
      </c>
      <c r="BA84" s="1" t="s">
        <v>1416</v>
      </c>
      <c r="BK84" s="1" t="s">
        <v>1338</v>
      </c>
      <c r="BU84" s="1" t="s">
        <v>1339</v>
      </c>
    </row>
    <row r="85" spans="2:73" x14ac:dyDescent="0.2">
      <c r="B85" s="1" t="s">
        <v>1345</v>
      </c>
      <c r="M85" s="1" t="s">
        <v>1337</v>
      </c>
      <c r="W85" s="1" t="s">
        <v>1342</v>
      </c>
      <c r="AG85" s="1" t="s">
        <v>1348</v>
      </c>
      <c r="AQ85" s="1" t="s">
        <v>2399</v>
      </c>
      <c r="BK85" s="1" t="s">
        <v>2399</v>
      </c>
      <c r="BU85" s="1" t="s">
        <v>1416</v>
      </c>
    </row>
    <row r="86" spans="2:73" x14ac:dyDescent="0.2">
      <c r="B86" s="1" t="s">
        <v>1346</v>
      </c>
      <c r="M86" s="1" t="s">
        <v>1338</v>
      </c>
      <c r="W86" s="1" t="s">
        <v>1343</v>
      </c>
      <c r="AG86" s="1" t="s">
        <v>1349</v>
      </c>
      <c r="BA86" s="2" t="s">
        <v>2837</v>
      </c>
    </row>
    <row r="87" spans="2:73" x14ac:dyDescent="0.2">
      <c r="B87" s="1" t="s">
        <v>1347</v>
      </c>
      <c r="M87" s="1" t="s">
        <v>1339</v>
      </c>
      <c r="W87" s="1" t="s">
        <v>2402</v>
      </c>
      <c r="AG87" s="1" t="s">
        <v>1350</v>
      </c>
      <c r="AQ87" s="2" t="s">
        <v>2837</v>
      </c>
      <c r="BA87" s="1" t="s">
        <v>1341</v>
      </c>
      <c r="BK87" s="2" t="s">
        <v>2837</v>
      </c>
      <c r="BU87" s="2" t="s">
        <v>2837</v>
      </c>
    </row>
    <row r="88" spans="2:73" x14ac:dyDescent="0.2">
      <c r="B88" s="1" t="s">
        <v>1348</v>
      </c>
      <c r="M88" s="1" t="s">
        <v>1416</v>
      </c>
      <c r="W88" s="1" t="s">
        <v>1344</v>
      </c>
      <c r="AG88" s="1" t="s">
        <v>1345</v>
      </c>
      <c r="AQ88" s="1" t="s">
        <v>1345</v>
      </c>
      <c r="BA88" s="1" t="s">
        <v>1342</v>
      </c>
      <c r="BK88" s="1" t="s">
        <v>2400</v>
      </c>
      <c r="BU88" s="1" t="s">
        <v>1341</v>
      </c>
    </row>
    <row r="89" spans="2:73" x14ac:dyDescent="0.2">
      <c r="B89" s="1" t="s">
        <v>1349</v>
      </c>
      <c r="W89" s="1" t="s">
        <v>1341</v>
      </c>
      <c r="AG89" s="1" t="s">
        <v>1346</v>
      </c>
      <c r="AQ89" s="1" t="s">
        <v>2403</v>
      </c>
      <c r="BA89" s="1" t="s">
        <v>1344</v>
      </c>
      <c r="BK89" s="1" t="s">
        <v>2403</v>
      </c>
      <c r="BU89" s="1" t="s">
        <v>1342</v>
      </c>
    </row>
    <row r="90" spans="2:73" x14ac:dyDescent="0.2">
      <c r="B90" s="1" t="s">
        <v>1350</v>
      </c>
      <c r="M90" s="2" t="s">
        <v>1417</v>
      </c>
      <c r="W90" s="1" t="s">
        <v>2403</v>
      </c>
      <c r="AG90" s="1" t="s">
        <v>1418</v>
      </c>
      <c r="AQ90" s="1" t="s">
        <v>1418</v>
      </c>
      <c r="BA90" s="1" t="s">
        <v>1421</v>
      </c>
      <c r="BK90" s="1" t="s">
        <v>1343</v>
      </c>
      <c r="BU90" s="1" t="s">
        <v>1344</v>
      </c>
    </row>
    <row r="91" spans="2:73" x14ac:dyDescent="0.2">
      <c r="M91" s="1" t="s">
        <v>1343</v>
      </c>
      <c r="AQ91" s="1" t="s">
        <v>1420</v>
      </c>
      <c r="BA91" s="1" t="s">
        <v>1348</v>
      </c>
      <c r="BK91" s="1" t="s">
        <v>2401</v>
      </c>
      <c r="BU91" s="1" t="s">
        <v>1421</v>
      </c>
    </row>
    <row r="92" spans="2:73" x14ac:dyDescent="0.2">
      <c r="B92" s="1" t="s">
        <v>1351</v>
      </c>
      <c r="M92" s="1" t="s">
        <v>1349</v>
      </c>
      <c r="W92" s="1" t="s">
        <v>2404</v>
      </c>
      <c r="AG92" s="1" t="s">
        <v>2428</v>
      </c>
      <c r="AQ92" s="1" t="s">
        <v>1349</v>
      </c>
      <c r="BA92" s="1" t="s">
        <v>1349</v>
      </c>
      <c r="BK92" s="1" t="s">
        <v>1420</v>
      </c>
      <c r="BU92" s="1" t="s">
        <v>1348</v>
      </c>
    </row>
    <row r="93" spans="2:73" x14ac:dyDescent="0.2">
      <c r="B93" s="1" t="s">
        <v>1352</v>
      </c>
      <c r="M93" s="1" t="s">
        <v>1348</v>
      </c>
      <c r="W93" s="1" t="s">
        <v>2405</v>
      </c>
      <c r="AG93" s="1" t="s">
        <v>1352</v>
      </c>
      <c r="AQ93" s="1" t="s">
        <v>1341</v>
      </c>
      <c r="BA93" s="1" t="s">
        <v>1350</v>
      </c>
      <c r="BK93" s="1" t="s">
        <v>1345</v>
      </c>
      <c r="BU93" s="1" t="s">
        <v>1349</v>
      </c>
    </row>
    <row r="94" spans="2:73" x14ac:dyDescent="0.2">
      <c r="B94" s="1" t="s">
        <v>1353</v>
      </c>
      <c r="M94" s="1" t="s">
        <v>1345</v>
      </c>
      <c r="W94" s="1" t="s">
        <v>2406</v>
      </c>
      <c r="AG94" s="1" t="s">
        <v>1353</v>
      </c>
      <c r="AQ94" s="1" t="s">
        <v>1344</v>
      </c>
      <c r="BA94" s="1" t="s">
        <v>1345</v>
      </c>
      <c r="BK94" s="1" t="s">
        <v>1346</v>
      </c>
      <c r="BU94" s="1" t="s">
        <v>1350</v>
      </c>
    </row>
    <row r="95" spans="2:73" x14ac:dyDescent="0.2">
      <c r="B95" s="1" t="s">
        <v>1354</v>
      </c>
      <c r="M95" s="1" t="s">
        <v>1346</v>
      </c>
      <c r="W95" s="1" t="s">
        <v>1359</v>
      </c>
      <c r="AG95" s="1" t="s">
        <v>1354</v>
      </c>
      <c r="AQ95" s="1" t="s">
        <v>1343</v>
      </c>
      <c r="BA95" s="1" t="s">
        <v>1346</v>
      </c>
      <c r="BK95" s="1" t="s">
        <v>1344</v>
      </c>
      <c r="BU95" s="1" t="s">
        <v>1345</v>
      </c>
    </row>
    <row r="96" spans="2:73" x14ac:dyDescent="0.2">
      <c r="B96" s="1" t="s">
        <v>1355</v>
      </c>
      <c r="M96" s="1" t="s">
        <v>1418</v>
      </c>
      <c r="W96" s="1" t="s">
        <v>1360</v>
      </c>
      <c r="AG96" s="1" t="s">
        <v>1355</v>
      </c>
      <c r="AQ96" s="1" t="s">
        <v>1342</v>
      </c>
      <c r="BA96" s="1" t="s">
        <v>1418</v>
      </c>
      <c r="BK96" s="1" t="s">
        <v>1341</v>
      </c>
      <c r="BU96" s="1" t="s">
        <v>1346</v>
      </c>
    </row>
    <row r="97" spans="2:73" x14ac:dyDescent="0.2">
      <c r="B97" s="1" t="s">
        <v>1356</v>
      </c>
      <c r="M97" s="1" t="s">
        <v>1419</v>
      </c>
      <c r="W97" s="1" t="s">
        <v>1356</v>
      </c>
      <c r="AG97" s="1" t="s">
        <v>1356</v>
      </c>
      <c r="AQ97" s="1" t="s">
        <v>2401</v>
      </c>
      <c r="BK97" s="1" t="s">
        <v>2402</v>
      </c>
      <c r="BU97" s="1" t="s">
        <v>1418</v>
      </c>
    </row>
    <row r="98" spans="2:73" x14ac:dyDescent="0.2">
      <c r="B98" s="1" t="s">
        <v>1357</v>
      </c>
      <c r="M98" s="1" t="s">
        <v>1420</v>
      </c>
      <c r="W98" s="1" t="s">
        <v>1355</v>
      </c>
      <c r="AG98" s="1" t="s">
        <v>1357</v>
      </c>
      <c r="BA98" s="2" t="s">
        <v>2838</v>
      </c>
    </row>
    <row r="99" spans="2:73" x14ac:dyDescent="0.2">
      <c r="B99" s="1" t="s">
        <v>1358</v>
      </c>
      <c r="M99" s="1" t="s">
        <v>1342</v>
      </c>
      <c r="W99" s="1" t="s">
        <v>1354</v>
      </c>
      <c r="AG99" s="1" t="s">
        <v>1358</v>
      </c>
      <c r="AQ99" s="2" t="s">
        <v>2838</v>
      </c>
      <c r="BA99" s="1" t="s">
        <v>2428</v>
      </c>
      <c r="BK99" s="2" t="s">
        <v>2838</v>
      </c>
      <c r="BU99" s="2" t="s">
        <v>2838</v>
      </c>
    </row>
    <row r="100" spans="2:73" x14ac:dyDescent="0.2">
      <c r="B100" s="1" t="s">
        <v>1359</v>
      </c>
      <c r="M100" s="1" t="s">
        <v>1421</v>
      </c>
      <c r="W100" s="1" t="s">
        <v>1353</v>
      </c>
      <c r="AG100" s="1" t="s">
        <v>1359</v>
      </c>
      <c r="AQ100" s="1" t="s">
        <v>2404</v>
      </c>
      <c r="BA100" s="1" t="s">
        <v>1352</v>
      </c>
      <c r="BK100" s="1" t="s">
        <v>2404</v>
      </c>
      <c r="BU100" s="1" t="s">
        <v>2428</v>
      </c>
    </row>
    <row r="101" spans="2:73" x14ac:dyDescent="0.2">
      <c r="B101" s="1" t="s">
        <v>1360</v>
      </c>
      <c r="W101" s="1" t="s">
        <v>1351</v>
      </c>
      <c r="AG101" s="1" t="s">
        <v>1424</v>
      </c>
      <c r="AQ101" s="1" t="s">
        <v>1424</v>
      </c>
      <c r="BA101" s="1" t="s">
        <v>1353</v>
      </c>
      <c r="BK101" s="1" t="s">
        <v>1355</v>
      </c>
      <c r="BU101" s="1" t="s">
        <v>1352</v>
      </c>
    </row>
    <row r="102" spans="2:73" x14ac:dyDescent="0.2">
      <c r="M102" s="2" t="s">
        <v>1422</v>
      </c>
      <c r="AQ102" s="1" t="s">
        <v>2406</v>
      </c>
      <c r="BA102" s="1" t="s">
        <v>1354</v>
      </c>
      <c r="BK102" s="1" t="s">
        <v>3019</v>
      </c>
      <c r="BU102" s="1" t="s">
        <v>1353</v>
      </c>
    </row>
    <row r="103" spans="2:73" x14ac:dyDescent="0.2">
      <c r="B103" s="1" t="s">
        <v>1361</v>
      </c>
      <c r="M103" s="1" t="s">
        <v>1423</v>
      </c>
      <c r="W103" s="1" t="s">
        <v>1361</v>
      </c>
      <c r="AG103" s="1" t="s">
        <v>1361</v>
      </c>
      <c r="AQ103" s="1" t="s">
        <v>1359</v>
      </c>
      <c r="BA103" s="1" t="s">
        <v>1355</v>
      </c>
      <c r="BK103" s="1" t="s">
        <v>1351</v>
      </c>
      <c r="BU103" s="1" t="s">
        <v>1354</v>
      </c>
    </row>
    <row r="104" spans="2:73" x14ac:dyDescent="0.2">
      <c r="B104" s="1" t="s">
        <v>1362</v>
      </c>
      <c r="M104" s="1" t="s">
        <v>1352</v>
      </c>
      <c r="W104" s="1" t="s">
        <v>2407</v>
      </c>
      <c r="AG104" s="1" t="s">
        <v>1368</v>
      </c>
      <c r="AQ104" s="1" t="s">
        <v>1360</v>
      </c>
      <c r="BA104" s="1" t="s">
        <v>1356</v>
      </c>
      <c r="BK104" s="1" t="s">
        <v>1359</v>
      </c>
      <c r="BU104" s="1" t="s">
        <v>1355</v>
      </c>
    </row>
    <row r="105" spans="2:73" x14ac:dyDescent="0.2">
      <c r="B105" s="1" t="s">
        <v>1363</v>
      </c>
      <c r="M105" s="1" t="s">
        <v>1353</v>
      </c>
      <c r="W105" s="1" t="s">
        <v>2408</v>
      </c>
      <c r="AG105" s="1" t="s">
        <v>1370</v>
      </c>
      <c r="AQ105" s="1" t="s">
        <v>1351</v>
      </c>
      <c r="BA105" s="1" t="s">
        <v>1357</v>
      </c>
      <c r="BK105" s="1" t="s">
        <v>3020</v>
      </c>
      <c r="BU105" s="1" t="s">
        <v>1356</v>
      </c>
    </row>
    <row r="106" spans="2:73" x14ac:dyDescent="0.2">
      <c r="B106" s="1" t="s">
        <v>1364</v>
      </c>
      <c r="M106" s="1" t="s">
        <v>1354</v>
      </c>
      <c r="W106" s="1" t="s">
        <v>1370</v>
      </c>
      <c r="AG106" s="1" t="s">
        <v>1369</v>
      </c>
      <c r="AQ106" s="1" t="s">
        <v>1356</v>
      </c>
      <c r="BA106" s="1" t="s">
        <v>1358</v>
      </c>
      <c r="BK106" s="1" t="s">
        <v>3021</v>
      </c>
      <c r="BU106" s="1" t="s">
        <v>1357</v>
      </c>
    </row>
    <row r="107" spans="2:73" x14ac:dyDescent="0.2">
      <c r="B107" s="1" t="s">
        <v>1365</v>
      </c>
      <c r="M107" s="1" t="s">
        <v>1355</v>
      </c>
      <c r="W107" s="1" t="s">
        <v>1369</v>
      </c>
      <c r="AG107" s="1" t="s">
        <v>1367</v>
      </c>
      <c r="AQ107" s="1" t="s">
        <v>1355</v>
      </c>
      <c r="BA107" s="1" t="s">
        <v>1359</v>
      </c>
      <c r="BK107" s="1" t="s">
        <v>1356</v>
      </c>
      <c r="BU107" s="1" t="s">
        <v>1358</v>
      </c>
    </row>
    <row r="108" spans="2:73" x14ac:dyDescent="0.2">
      <c r="B108" s="1" t="s">
        <v>1366</v>
      </c>
      <c r="M108" s="1" t="s">
        <v>1356</v>
      </c>
      <c r="W108" s="1" t="s">
        <v>1366</v>
      </c>
      <c r="AG108" s="1" t="s">
        <v>1366</v>
      </c>
      <c r="AQ108" s="1" t="s">
        <v>1354</v>
      </c>
      <c r="BA108" s="1" t="s">
        <v>1424</v>
      </c>
      <c r="BK108" s="1" t="s">
        <v>1354</v>
      </c>
      <c r="BU108" s="1" t="s">
        <v>1359</v>
      </c>
    </row>
    <row r="109" spans="2:73" x14ac:dyDescent="0.2">
      <c r="B109" s="1" t="s">
        <v>1367</v>
      </c>
      <c r="M109" s="1" t="s">
        <v>1357</v>
      </c>
      <c r="W109" s="1" t="s">
        <v>1365</v>
      </c>
      <c r="AG109" s="1" t="s">
        <v>1363</v>
      </c>
      <c r="AQ109" s="1" t="s">
        <v>1353</v>
      </c>
      <c r="BK109" s="1" t="s">
        <v>1358</v>
      </c>
      <c r="BU109" s="1" t="s">
        <v>1424</v>
      </c>
    </row>
    <row r="110" spans="2:73" x14ac:dyDescent="0.2">
      <c r="B110" s="1" t="s">
        <v>1368</v>
      </c>
      <c r="M110" s="1" t="s">
        <v>1358</v>
      </c>
      <c r="W110" s="1" t="s">
        <v>1363</v>
      </c>
      <c r="AG110" s="1" t="s">
        <v>1364</v>
      </c>
      <c r="BA110" s="2" t="s">
        <v>2839</v>
      </c>
    </row>
    <row r="111" spans="2:73" x14ac:dyDescent="0.2">
      <c r="B111" s="1" t="s">
        <v>1369</v>
      </c>
      <c r="M111" s="1" t="s">
        <v>1359</v>
      </c>
      <c r="W111" s="1" t="s">
        <v>1426</v>
      </c>
      <c r="AG111" s="1" t="s">
        <v>2580</v>
      </c>
      <c r="AQ111" s="2" t="s">
        <v>2839</v>
      </c>
      <c r="BA111" s="1" t="s">
        <v>1361</v>
      </c>
      <c r="BK111" s="2" t="s">
        <v>2839</v>
      </c>
      <c r="BU111" s="2" t="s">
        <v>2839</v>
      </c>
    </row>
    <row r="112" spans="2:73" x14ac:dyDescent="0.2">
      <c r="B112" s="1" t="s">
        <v>1370</v>
      </c>
      <c r="M112" s="1" t="s">
        <v>1424</v>
      </c>
      <c r="W112" s="1" t="s">
        <v>2409</v>
      </c>
      <c r="AG112" s="1" t="s">
        <v>1427</v>
      </c>
      <c r="AQ112" s="1" t="s">
        <v>1361</v>
      </c>
      <c r="BA112" s="1" t="s">
        <v>1368</v>
      </c>
      <c r="BK112" s="1" t="s">
        <v>1361</v>
      </c>
      <c r="BU112" s="1" t="s">
        <v>1361</v>
      </c>
    </row>
    <row r="113" spans="2:73" x14ac:dyDescent="0.2">
      <c r="AQ113" s="1" t="s">
        <v>2407</v>
      </c>
      <c r="BA113" s="1" t="s">
        <v>1370</v>
      </c>
      <c r="BK113" s="1" t="s">
        <v>2407</v>
      </c>
      <c r="BU113" s="1" t="s">
        <v>1368</v>
      </c>
    </row>
    <row r="114" spans="2:73" x14ac:dyDescent="0.2">
      <c r="B114" s="1" t="s">
        <v>1371</v>
      </c>
      <c r="M114" s="2" t="s">
        <v>1425</v>
      </c>
      <c r="W114" s="1" t="s">
        <v>1377</v>
      </c>
      <c r="AG114" s="1" t="s">
        <v>1371</v>
      </c>
      <c r="AQ114" s="1" t="s">
        <v>2408</v>
      </c>
      <c r="BA114" s="1" t="s">
        <v>1369</v>
      </c>
      <c r="BK114" s="1" t="s">
        <v>2408</v>
      </c>
      <c r="BU114" s="1" t="s">
        <v>1370</v>
      </c>
    </row>
    <row r="115" spans="2:73" x14ac:dyDescent="0.2">
      <c r="B115" s="1" t="s">
        <v>1372</v>
      </c>
      <c r="M115" s="1" t="s">
        <v>1361</v>
      </c>
      <c r="W115" s="1" t="s">
        <v>1432</v>
      </c>
      <c r="AG115" s="1" t="s">
        <v>2413</v>
      </c>
      <c r="AQ115" s="1" t="s">
        <v>1370</v>
      </c>
      <c r="BA115" s="1" t="s">
        <v>1367</v>
      </c>
      <c r="BK115" s="1" t="s">
        <v>1370</v>
      </c>
      <c r="BU115" s="1" t="s">
        <v>1369</v>
      </c>
    </row>
    <row r="116" spans="2:73" x14ac:dyDescent="0.2">
      <c r="B116" s="1" t="s">
        <v>1373</v>
      </c>
      <c r="M116" s="1" t="s">
        <v>1368</v>
      </c>
      <c r="W116" s="1" t="s">
        <v>2410</v>
      </c>
      <c r="AG116" s="1" t="s">
        <v>1377</v>
      </c>
      <c r="AQ116" s="1" t="s">
        <v>1369</v>
      </c>
      <c r="BA116" s="1" t="s">
        <v>1366</v>
      </c>
      <c r="BK116" s="1" t="s">
        <v>1369</v>
      </c>
      <c r="BU116" s="1" t="s">
        <v>1367</v>
      </c>
    </row>
    <row r="117" spans="2:73" x14ac:dyDescent="0.2">
      <c r="B117" s="1" t="s">
        <v>1374</v>
      </c>
      <c r="M117" s="1" t="s">
        <v>1370</v>
      </c>
      <c r="W117" s="1" t="s">
        <v>2411</v>
      </c>
      <c r="AG117" s="1" t="s">
        <v>1374</v>
      </c>
      <c r="AQ117" s="1" t="s">
        <v>1366</v>
      </c>
      <c r="BA117" s="1" t="s">
        <v>1363</v>
      </c>
      <c r="BK117" s="1" t="s">
        <v>1366</v>
      </c>
      <c r="BU117" s="1" t="s">
        <v>1366</v>
      </c>
    </row>
    <row r="118" spans="2:73" x14ac:dyDescent="0.2">
      <c r="B118" s="1" t="s">
        <v>1375</v>
      </c>
      <c r="M118" s="1" t="s">
        <v>1369</v>
      </c>
      <c r="W118" s="1" t="s">
        <v>2412</v>
      </c>
      <c r="AG118" s="1" t="s">
        <v>1378</v>
      </c>
      <c r="AQ118" s="1" t="s">
        <v>1365</v>
      </c>
      <c r="BA118" s="1" t="s">
        <v>1364</v>
      </c>
      <c r="BK118" s="1" t="s">
        <v>1365</v>
      </c>
      <c r="BU118" s="1" t="s">
        <v>1363</v>
      </c>
    </row>
    <row r="119" spans="2:73" x14ac:dyDescent="0.2">
      <c r="B119" s="1" t="s">
        <v>1376</v>
      </c>
      <c r="M119" s="1" t="s">
        <v>1367</v>
      </c>
      <c r="W119" s="1" t="s">
        <v>2413</v>
      </c>
      <c r="AG119" s="1" t="s">
        <v>1431</v>
      </c>
      <c r="AQ119" s="1" t="s">
        <v>1363</v>
      </c>
      <c r="BA119" s="1" t="s">
        <v>1426</v>
      </c>
      <c r="BK119" s="1" t="s">
        <v>1363</v>
      </c>
      <c r="BU119" s="1" t="s">
        <v>1364</v>
      </c>
    </row>
    <row r="120" spans="2:73" x14ac:dyDescent="0.2">
      <c r="B120" s="1" t="s">
        <v>1377</v>
      </c>
      <c r="M120" s="1" t="s">
        <v>1366</v>
      </c>
      <c r="W120" s="1" t="s">
        <v>1374</v>
      </c>
      <c r="AG120" s="1" t="s">
        <v>1379</v>
      </c>
      <c r="AQ120" s="1" t="s">
        <v>1426</v>
      </c>
      <c r="BA120" s="1" t="s">
        <v>1427</v>
      </c>
      <c r="BK120" s="1" t="s">
        <v>1426</v>
      </c>
      <c r="BU120" s="1" t="s">
        <v>2580</v>
      </c>
    </row>
    <row r="121" spans="2:73" x14ac:dyDescent="0.2">
      <c r="B121" s="1" t="s">
        <v>1378</v>
      </c>
      <c r="M121" s="1" t="s">
        <v>1365</v>
      </c>
      <c r="W121" s="1" t="s">
        <v>2414</v>
      </c>
      <c r="AG121" s="1" t="s">
        <v>1380</v>
      </c>
      <c r="AQ121" s="1" t="s">
        <v>2409</v>
      </c>
      <c r="BK121" s="1" t="s">
        <v>2409</v>
      </c>
      <c r="BU121" s="1" t="s">
        <v>2407</v>
      </c>
    </row>
    <row r="122" spans="2:73" x14ac:dyDescent="0.2">
      <c r="B122" s="1" t="s">
        <v>1379</v>
      </c>
      <c r="M122" s="1" t="s">
        <v>1363</v>
      </c>
      <c r="W122" s="1" t="s">
        <v>1378</v>
      </c>
      <c r="AG122" s="1" t="s">
        <v>1430</v>
      </c>
      <c r="BA122" s="2" t="s">
        <v>2840</v>
      </c>
    </row>
    <row r="123" spans="2:73" x14ac:dyDescent="0.2">
      <c r="B123" s="1" t="s">
        <v>1380</v>
      </c>
      <c r="M123" s="1" t="s">
        <v>1426</v>
      </c>
      <c r="W123" s="1" t="s">
        <v>1431</v>
      </c>
      <c r="AG123" s="1" t="s">
        <v>1429</v>
      </c>
      <c r="AQ123" s="2" t="s">
        <v>2840</v>
      </c>
      <c r="BA123" s="1" t="s">
        <v>1371</v>
      </c>
      <c r="BK123" s="2" t="s">
        <v>2840</v>
      </c>
      <c r="BU123" s="2" t="s">
        <v>2840</v>
      </c>
    </row>
    <row r="124" spans="2:73" x14ac:dyDescent="0.2">
      <c r="M124" s="1" t="s">
        <v>1427</v>
      </c>
      <c r="AQ124" s="1" t="s">
        <v>1377</v>
      </c>
      <c r="BA124" s="1" t="s">
        <v>2413</v>
      </c>
      <c r="BK124" s="1" t="s">
        <v>1377</v>
      </c>
      <c r="BU124" s="1" t="s">
        <v>1371</v>
      </c>
    </row>
    <row r="125" spans="2:73" x14ac:dyDescent="0.2">
      <c r="B125" s="1" t="s">
        <v>1381</v>
      </c>
      <c r="W125" s="1" t="s">
        <v>2415</v>
      </c>
      <c r="AG125" s="1" t="s">
        <v>1381</v>
      </c>
      <c r="AQ125" s="1" t="s">
        <v>1432</v>
      </c>
      <c r="BA125" s="1" t="s">
        <v>1377</v>
      </c>
      <c r="BK125" s="1" t="s">
        <v>1432</v>
      </c>
      <c r="BU125" s="1" t="s">
        <v>2413</v>
      </c>
    </row>
    <row r="126" spans="2:73" x14ac:dyDescent="0.2">
      <c r="B126" s="1" t="s">
        <v>1382</v>
      </c>
      <c r="M126" s="2" t="s">
        <v>1428</v>
      </c>
      <c r="W126" s="1" t="s">
        <v>2416</v>
      </c>
      <c r="AG126" s="1" t="s">
        <v>1383</v>
      </c>
      <c r="AQ126" s="1" t="s">
        <v>2410</v>
      </c>
      <c r="BA126" s="1" t="s">
        <v>1374</v>
      </c>
      <c r="BK126" s="1" t="s">
        <v>2410</v>
      </c>
      <c r="BU126" s="1" t="s">
        <v>1377</v>
      </c>
    </row>
    <row r="127" spans="2:73" x14ac:dyDescent="0.2">
      <c r="B127" s="1" t="s">
        <v>1383</v>
      </c>
      <c r="M127" s="1" t="s">
        <v>1377</v>
      </c>
      <c r="W127" s="1" t="s">
        <v>1434</v>
      </c>
      <c r="AG127" s="1" t="s">
        <v>1387</v>
      </c>
      <c r="AQ127" s="1" t="s">
        <v>2411</v>
      </c>
      <c r="BA127" s="1" t="s">
        <v>1378</v>
      </c>
      <c r="BK127" s="1" t="s">
        <v>2411</v>
      </c>
      <c r="BU127" s="1" t="s">
        <v>1374</v>
      </c>
    </row>
    <row r="128" spans="2:73" x14ac:dyDescent="0.2">
      <c r="B128" s="1" t="s">
        <v>1384</v>
      </c>
      <c r="M128" s="1" t="s">
        <v>1376</v>
      </c>
      <c r="W128" s="1" t="s">
        <v>2417</v>
      </c>
      <c r="AG128" s="1" t="s">
        <v>1384</v>
      </c>
      <c r="AQ128" s="1" t="s">
        <v>2412</v>
      </c>
      <c r="BA128" s="1" t="s">
        <v>1431</v>
      </c>
      <c r="BK128" s="1" t="s">
        <v>2412</v>
      </c>
      <c r="BU128" s="1" t="s">
        <v>1378</v>
      </c>
    </row>
    <row r="129" spans="2:73" x14ac:dyDescent="0.2">
      <c r="B129" s="1" t="s">
        <v>1385</v>
      </c>
      <c r="M129" s="1" t="s">
        <v>1429</v>
      </c>
      <c r="W129" s="1" t="s">
        <v>2418</v>
      </c>
      <c r="AG129" s="1" t="s">
        <v>1385</v>
      </c>
      <c r="AQ129" s="1" t="s">
        <v>2413</v>
      </c>
      <c r="BA129" s="1" t="s">
        <v>1379</v>
      </c>
      <c r="BK129" s="1" t="s">
        <v>2413</v>
      </c>
      <c r="BU129" s="1" t="s">
        <v>1431</v>
      </c>
    </row>
    <row r="130" spans="2:73" x14ac:dyDescent="0.2">
      <c r="B130" s="1" t="s">
        <v>1386</v>
      </c>
      <c r="M130" s="1" t="s">
        <v>1430</v>
      </c>
      <c r="W130" s="1" t="s">
        <v>2419</v>
      </c>
      <c r="AG130" s="1" t="s">
        <v>1386</v>
      </c>
      <c r="AQ130" s="1" t="s">
        <v>1374</v>
      </c>
      <c r="BA130" s="1" t="s">
        <v>1380</v>
      </c>
      <c r="BK130" s="1" t="s">
        <v>1374</v>
      </c>
      <c r="BU130" s="1" t="s">
        <v>1379</v>
      </c>
    </row>
    <row r="131" spans="2:73" x14ac:dyDescent="0.2">
      <c r="B131" s="1" t="s">
        <v>1387</v>
      </c>
      <c r="M131" s="1" t="s">
        <v>1380</v>
      </c>
      <c r="W131" s="1" t="s">
        <v>1386</v>
      </c>
      <c r="AG131" s="1" t="s">
        <v>1434</v>
      </c>
      <c r="AQ131" s="1" t="s">
        <v>2414</v>
      </c>
      <c r="BA131" s="1" t="s">
        <v>1430</v>
      </c>
      <c r="BK131" s="1" t="s">
        <v>2414</v>
      </c>
      <c r="BU131" s="1" t="s">
        <v>1380</v>
      </c>
    </row>
    <row r="132" spans="2:73" x14ac:dyDescent="0.2">
      <c r="B132" s="1" t="s">
        <v>1388</v>
      </c>
      <c r="M132" s="1" t="s">
        <v>1379</v>
      </c>
      <c r="W132" s="1" t="s">
        <v>1384</v>
      </c>
      <c r="AG132" s="1" t="s">
        <v>1388</v>
      </c>
      <c r="AQ132" s="1" t="s">
        <v>1378</v>
      </c>
      <c r="BA132" s="1" t="s">
        <v>1429</v>
      </c>
      <c r="BK132" s="1" t="s">
        <v>1378</v>
      </c>
      <c r="BU132" s="1" t="s">
        <v>1430</v>
      </c>
    </row>
    <row r="133" spans="2:73" x14ac:dyDescent="0.2">
      <c r="B133" s="1" t="s">
        <v>1389</v>
      </c>
      <c r="M133" s="1" t="s">
        <v>1431</v>
      </c>
      <c r="W133" s="1" t="s">
        <v>1385</v>
      </c>
      <c r="AG133" s="1" t="s">
        <v>1382</v>
      </c>
      <c r="AQ133" s="1" t="s">
        <v>1431</v>
      </c>
      <c r="BK133" s="1" t="s">
        <v>1431</v>
      </c>
      <c r="BU133" s="1" t="s">
        <v>1429</v>
      </c>
    </row>
    <row r="134" spans="2:73" x14ac:dyDescent="0.2">
      <c r="B134" s="1" t="s">
        <v>1390</v>
      </c>
      <c r="M134" s="1" t="s">
        <v>1378</v>
      </c>
      <c r="W134" s="1" t="s">
        <v>2577</v>
      </c>
      <c r="AG134" s="1" t="s">
        <v>1389</v>
      </c>
      <c r="BA134" s="2" t="s">
        <v>2841</v>
      </c>
    </row>
    <row r="135" spans="2:73" x14ac:dyDescent="0.2">
      <c r="B135" s="1" t="s">
        <v>132</v>
      </c>
      <c r="M135" s="1" t="s">
        <v>1375</v>
      </c>
      <c r="W135" s="1" t="s">
        <v>132</v>
      </c>
      <c r="AG135" s="1" t="s">
        <v>132</v>
      </c>
      <c r="AQ135" s="2" t="s">
        <v>2841</v>
      </c>
      <c r="BA135" s="1" t="s">
        <v>1381</v>
      </c>
      <c r="BK135" s="2" t="s">
        <v>2841</v>
      </c>
      <c r="BU135" s="2" t="s">
        <v>2841</v>
      </c>
    </row>
    <row r="136" spans="2:73" x14ac:dyDescent="0.2">
      <c r="M136" s="1" t="s">
        <v>1432</v>
      </c>
      <c r="AQ136" s="1" t="s">
        <v>2415</v>
      </c>
      <c r="BA136" s="1" t="s">
        <v>1383</v>
      </c>
      <c r="BK136" s="1" t="s">
        <v>2415</v>
      </c>
      <c r="BU136" s="1" t="s">
        <v>1381</v>
      </c>
    </row>
    <row r="137" spans="2:73" x14ac:dyDescent="0.2">
      <c r="AQ137" s="1" t="s">
        <v>2842</v>
      </c>
      <c r="BA137" s="1" t="s">
        <v>1387</v>
      </c>
      <c r="BK137" s="1" t="s">
        <v>2843</v>
      </c>
      <c r="BU137" s="1" t="s">
        <v>1383</v>
      </c>
    </row>
    <row r="138" spans="2:73" x14ac:dyDescent="0.2">
      <c r="M138" s="2" t="s">
        <v>1433</v>
      </c>
      <c r="AQ138" s="1" t="s">
        <v>2416</v>
      </c>
      <c r="BA138" s="1" t="s">
        <v>1384</v>
      </c>
      <c r="BK138" s="1" t="s">
        <v>1383</v>
      </c>
      <c r="BU138" s="1" t="s">
        <v>1387</v>
      </c>
    </row>
    <row r="139" spans="2:73" x14ac:dyDescent="0.2">
      <c r="M139" s="1" t="s">
        <v>1381</v>
      </c>
      <c r="AQ139" s="1" t="s">
        <v>2417</v>
      </c>
      <c r="BA139" s="1" t="s">
        <v>1385</v>
      </c>
      <c r="BK139" s="1" t="s">
        <v>1434</v>
      </c>
      <c r="BU139" s="1" t="s">
        <v>1384</v>
      </c>
    </row>
    <row r="140" spans="2:73" x14ac:dyDescent="0.2">
      <c r="M140" s="1" t="s">
        <v>1383</v>
      </c>
      <c r="AQ140" s="1" t="s">
        <v>2418</v>
      </c>
      <c r="BA140" s="1" t="s">
        <v>1386</v>
      </c>
      <c r="BK140" s="1" t="s">
        <v>2417</v>
      </c>
      <c r="BU140" s="1" t="s">
        <v>1385</v>
      </c>
    </row>
    <row r="141" spans="2:73" x14ac:dyDescent="0.2">
      <c r="M141" s="1" t="s">
        <v>1387</v>
      </c>
      <c r="AQ141" s="1" t="s">
        <v>2419</v>
      </c>
      <c r="BA141" s="1" t="s">
        <v>1434</v>
      </c>
      <c r="BK141" s="1" t="s">
        <v>2418</v>
      </c>
      <c r="BU141" s="1" t="s">
        <v>1386</v>
      </c>
    </row>
    <row r="142" spans="2:73" x14ac:dyDescent="0.2">
      <c r="M142" s="1" t="s">
        <v>1384</v>
      </c>
      <c r="AQ142" s="1" t="s">
        <v>1386</v>
      </c>
      <c r="BA142" s="1" t="s">
        <v>1388</v>
      </c>
      <c r="BK142" s="1" t="s">
        <v>2419</v>
      </c>
      <c r="BU142" s="1" t="s">
        <v>1434</v>
      </c>
    </row>
    <row r="143" spans="2:73" x14ac:dyDescent="0.2">
      <c r="M143" s="1" t="s">
        <v>1385</v>
      </c>
      <c r="AQ143" s="1" t="s">
        <v>2577</v>
      </c>
      <c r="BA143" s="1" t="s">
        <v>1382</v>
      </c>
      <c r="BK143" s="1" t="s">
        <v>1384</v>
      </c>
      <c r="BU143" s="1" t="s">
        <v>1388</v>
      </c>
    </row>
    <row r="144" spans="2:73" x14ac:dyDescent="0.2">
      <c r="M144" s="1" t="s">
        <v>1386</v>
      </c>
      <c r="AQ144" s="1" t="s">
        <v>2843</v>
      </c>
      <c r="BA144" s="1" t="s">
        <v>2429</v>
      </c>
      <c r="BK144" s="1" t="s">
        <v>1385</v>
      </c>
      <c r="BU144" s="1" t="s">
        <v>1382</v>
      </c>
    </row>
    <row r="145" spans="13:73" x14ac:dyDescent="0.2">
      <c r="M145" s="1" t="s">
        <v>1434</v>
      </c>
      <c r="AQ145" s="1" t="s">
        <v>2844</v>
      </c>
      <c r="BA145" s="1" t="s">
        <v>132</v>
      </c>
      <c r="BK145" s="1" t="s">
        <v>1386</v>
      </c>
      <c r="BU145" s="1" t="s">
        <v>1389</v>
      </c>
    </row>
    <row r="146" spans="13:73" x14ac:dyDescent="0.2">
      <c r="M146" s="1" t="s">
        <v>1388</v>
      </c>
      <c r="AQ146" s="1" t="s">
        <v>132</v>
      </c>
      <c r="BK146" s="1" t="s">
        <v>132</v>
      </c>
      <c r="BU146" s="1" t="s">
        <v>132</v>
      </c>
    </row>
    <row r="147" spans="13:73" x14ac:dyDescent="0.2">
      <c r="M147" s="1" t="s">
        <v>1382</v>
      </c>
    </row>
    <row r="148" spans="13:73" x14ac:dyDescent="0.2">
      <c r="M148" s="1" t="s">
        <v>1389</v>
      </c>
    </row>
    <row r="149" spans="13:73" x14ac:dyDescent="0.2">
      <c r="M149" s="1" t="s">
        <v>132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DE8D-8C4A-7E4C-9041-ABC54C40631E}">
  <dimension ref="A1:CF172"/>
  <sheetViews>
    <sheetView topLeftCell="BW1" workbookViewId="0">
      <selection activeCell="CF27" sqref="CF27"/>
    </sheetView>
  </sheetViews>
  <sheetFormatPr baseColWidth="10" defaultRowHeight="16" x14ac:dyDescent="0.2"/>
  <sheetData>
    <row r="1" spans="2:84" x14ac:dyDescent="0.2">
      <c r="B1" t="s">
        <v>134</v>
      </c>
      <c r="BM1" s="20" t="s">
        <v>2875</v>
      </c>
    </row>
    <row r="2" spans="2:84" x14ac:dyDescent="0.2">
      <c r="AS2" s="20" t="s">
        <v>2648</v>
      </c>
      <c r="BC2" s="1" t="s">
        <v>2874</v>
      </c>
      <c r="BM2" s="1" t="s">
        <v>3022</v>
      </c>
      <c r="BW2" s="1" t="s">
        <v>2874</v>
      </c>
    </row>
    <row r="3" spans="2:84" x14ac:dyDescent="0.2">
      <c r="B3" s="1" t="s">
        <v>133</v>
      </c>
      <c r="N3" s="1" t="s">
        <v>135</v>
      </c>
      <c r="Y3" s="1" t="s">
        <v>2430</v>
      </c>
      <c r="AF3" s="4" t="s">
        <v>174</v>
      </c>
      <c r="AG3" s="3" t="s">
        <v>175</v>
      </c>
      <c r="AH3" s="3" t="s">
        <v>180</v>
      </c>
      <c r="AI3" s="1" t="s">
        <v>2584</v>
      </c>
      <c r="AP3" s="4" t="s">
        <v>174</v>
      </c>
      <c r="AQ3" s="3" t="s">
        <v>175</v>
      </c>
      <c r="AR3" s="3" t="s">
        <v>180</v>
      </c>
      <c r="AS3" s="1" t="s">
        <v>2845</v>
      </c>
      <c r="AZ3" s="4" t="s">
        <v>174</v>
      </c>
      <c r="BA3" s="3" t="s">
        <v>175</v>
      </c>
      <c r="BB3" s="3" t="s">
        <v>180</v>
      </c>
      <c r="BC3" s="2" t="s">
        <v>2846</v>
      </c>
      <c r="BJ3" s="4" t="s">
        <v>174</v>
      </c>
      <c r="BK3" s="3" t="s">
        <v>175</v>
      </c>
      <c r="BL3" s="3" t="s">
        <v>180</v>
      </c>
      <c r="BM3" s="2" t="s">
        <v>2846</v>
      </c>
      <c r="BT3" s="4" t="s">
        <v>174</v>
      </c>
      <c r="BU3" s="3" t="s">
        <v>175</v>
      </c>
      <c r="BV3" s="3" t="s">
        <v>180</v>
      </c>
      <c r="BW3" s="2" t="s">
        <v>2846</v>
      </c>
      <c r="CD3" s="4" t="s">
        <v>174</v>
      </c>
      <c r="CE3" s="3" t="s">
        <v>175</v>
      </c>
      <c r="CF3" s="3" t="s">
        <v>180</v>
      </c>
    </row>
    <row r="4" spans="2:84" x14ac:dyDescent="0.2">
      <c r="B4" s="2" t="s">
        <v>0</v>
      </c>
      <c r="J4" s="4" t="s">
        <v>174</v>
      </c>
      <c r="K4" s="3" t="s">
        <v>176</v>
      </c>
      <c r="L4" s="3"/>
      <c r="N4" s="2" t="s">
        <v>0</v>
      </c>
      <c r="V4" s="4" t="s">
        <v>174</v>
      </c>
      <c r="W4" s="3" t="s">
        <v>175</v>
      </c>
      <c r="X4" s="3" t="s">
        <v>180</v>
      </c>
      <c r="Y4" s="1" t="s">
        <v>136</v>
      </c>
      <c r="Z4" s="3"/>
      <c r="AG4">
        <v>100</v>
      </c>
      <c r="AI4" s="1" t="s">
        <v>136</v>
      </c>
      <c r="AQ4">
        <v>100</v>
      </c>
      <c r="AS4" s="2" t="s">
        <v>2846</v>
      </c>
      <c r="BA4">
        <v>100</v>
      </c>
      <c r="BC4" s="1" t="s">
        <v>136</v>
      </c>
      <c r="BK4">
        <v>100</v>
      </c>
      <c r="BM4" s="1" t="s">
        <v>136</v>
      </c>
      <c r="BU4">
        <v>100</v>
      </c>
      <c r="BW4" s="1" t="s">
        <v>136</v>
      </c>
      <c r="CE4">
        <v>100</v>
      </c>
    </row>
    <row r="5" spans="2:84" x14ac:dyDescent="0.2">
      <c r="B5" s="1" t="s">
        <v>1</v>
      </c>
      <c r="K5">
        <v>100</v>
      </c>
      <c r="N5" s="1" t="s">
        <v>136</v>
      </c>
      <c r="W5">
        <v>100</v>
      </c>
      <c r="Y5" s="1" t="s">
        <v>1</v>
      </c>
      <c r="Z5" s="3"/>
      <c r="AF5" s="19">
        <v>-3.85E-2</v>
      </c>
      <c r="AG5" s="3">
        <f>100*(1+AF5)</f>
        <v>96.15</v>
      </c>
      <c r="AH5" s="11">
        <f>AF5</f>
        <v>-3.85E-2</v>
      </c>
      <c r="AI5" s="1" t="s">
        <v>1</v>
      </c>
      <c r="AP5" s="19">
        <v>-4.1300000000000003E-2</v>
      </c>
      <c r="AQ5" s="3">
        <f>100*(1+AP5)</f>
        <v>95.87</v>
      </c>
      <c r="AR5" s="11">
        <f>AP5</f>
        <v>-4.1300000000000003E-2</v>
      </c>
      <c r="AS5" s="1" t="s">
        <v>136</v>
      </c>
      <c r="AZ5" s="19">
        <v>-3.85E-2</v>
      </c>
      <c r="BA5" s="3">
        <f>100*(1+AZ5)</f>
        <v>96.15</v>
      </c>
      <c r="BB5" s="11">
        <f>AZ5</f>
        <v>-3.85E-2</v>
      </c>
      <c r="BC5" s="1" t="s">
        <v>1</v>
      </c>
      <c r="BJ5" s="19">
        <v>-4.1300000000000003E-2</v>
      </c>
      <c r="BK5" s="3">
        <f>100*(1+BJ5)</f>
        <v>95.87</v>
      </c>
      <c r="BL5" s="11">
        <f>BJ5</f>
        <v>-4.1300000000000003E-2</v>
      </c>
      <c r="BM5" s="1" t="s">
        <v>1</v>
      </c>
      <c r="BT5" s="19">
        <v>-3.85E-2</v>
      </c>
      <c r="BU5" s="3">
        <f>100*(1+BT5)</f>
        <v>96.15</v>
      </c>
      <c r="BV5" s="11">
        <f>BT5</f>
        <v>-3.85E-2</v>
      </c>
      <c r="BW5" s="1" t="s">
        <v>1</v>
      </c>
      <c r="CD5" s="19">
        <v>-4.1300000000000003E-2</v>
      </c>
      <c r="CE5" s="3">
        <f>100*(1+CD5)</f>
        <v>95.87</v>
      </c>
      <c r="CF5" s="11">
        <f>CD5</f>
        <v>-4.1300000000000003E-2</v>
      </c>
    </row>
    <row r="6" spans="2:84" x14ac:dyDescent="0.2">
      <c r="B6" s="1" t="s">
        <v>2</v>
      </c>
      <c r="J6" s="19">
        <v>-8.8999999999999999E-3</v>
      </c>
      <c r="K6" s="3">
        <f>100*(1+J6)</f>
        <v>99.11</v>
      </c>
      <c r="L6" s="11">
        <f>J6</f>
        <v>-8.8999999999999999E-3</v>
      </c>
      <c r="N6" s="1" t="s">
        <v>137</v>
      </c>
      <c r="V6" s="19">
        <v>-3.9199999999999999E-2</v>
      </c>
      <c r="W6" s="3">
        <f>100*(1+V6)</f>
        <v>96.08</v>
      </c>
      <c r="X6" s="11">
        <f>V6</f>
        <v>-3.9199999999999999E-2</v>
      </c>
      <c r="Y6" s="1" t="s">
        <v>2581</v>
      </c>
      <c r="Z6" s="3"/>
      <c r="AF6" s="19">
        <v>4.3E-3</v>
      </c>
      <c r="AG6" s="3">
        <f>AG5*(1+AF6)</f>
        <v>96.563445000000002</v>
      </c>
      <c r="AH6" s="11">
        <f>AF10</f>
        <v>-1.2E-2</v>
      </c>
      <c r="AI6" s="1" t="s">
        <v>2</v>
      </c>
      <c r="AP6" s="19">
        <v>1.47E-2</v>
      </c>
      <c r="AQ6" s="3">
        <f>AQ5*(1+AP6)</f>
        <v>97.279288999999991</v>
      </c>
      <c r="AR6" s="11">
        <f>AP8</f>
        <v>-1.72E-2</v>
      </c>
      <c r="AS6" s="1" t="s">
        <v>1</v>
      </c>
      <c r="AZ6" s="19">
        <v>4.1000000000000003E-3</v>
      </c>
      <c r="BA6" s="3">
        <f>BA5*(1+AZ6)</f>
        <v>96.544215000000008</v>
      </c>
      <c r="BB6" s="11">
        <f>AZ10</f>
        <v>-3.2000000000000002E-3</v>
      </c>
      <c r="BC6" s="1" t="s">
        <v>2</v>
      </c>
      <c r="BJ6" s="19">
        <v>1.47E-2</v>
      </c>
      <c r="BK6" s="3">
        <f>BK5*(1+BJ6)</f>
        <v>97.279288999999991</v>
      </c>
      <c r="BL6" s="11">
        <f>BJ8</f>
        <v>-1.72E-2</v>
      </c>
      <c r="BM6" s="1" t="s">
        <v>2581</v>
      </c>
      <c r="BT6" s="19">
        <v>2.7000000000000001E-3</v>
      </c>
      <c r="BU6" s="3">
        <f>BU5*(1+BT6)</f>
        <v>96.409604999999999</v>
      </c>
      <c r="BV6" s="11">
        <f>BT10</f>
        <v>-4.8999999999999998E-3</v>
      </c>
      <c r="BW6" s="1" t="s">
        <v>2</v>
      </c>
      <c r="CD6" s="19">
        <v>1.47E-2</v>
      </c>
      <c r="CE6" s="3">
        <f>CE5*(1+CD6)</f>
        <v>97.279288999999991</v>
      </c>
      <c r="CF6" s="11">
        <f>CD8</f>
        <v>-1.9E-2</v>
      </c>
    </row>
    <row r="7" spans="2:84" x14ac:dyDescent="0.2">
      <c r="B7" s="1" t="s">
        <v>3</v>
      </c>
      <c r="J7" s="19">
        <v>5.4999999999999997E-3</v>
      </c>
      <c r="K7" s="3">
        <f>K6*(1+J7)</f>
        <v>99.655105000000006</v>
      </c>
      <c r="L7" s="11">
        <f>J9</f>
        <v>-1.3299999999999999E-2</v>
      </c>
      <c r="N7" s="1" t="s">
        <v>5</v>
      </c>
      <c r="V7" s="19">
        <v>7.3000000000000001E-3</v>
      </c>
      <c r="W7" s="3">
        <f>W6*(1+V7)</f>
        <v>96.781384000000003</v>
      </c>
      <c r="X7" s="11">
        <f>V9</f>
        <v>-9.7999999999999997E-3</v>
      </c>
      <c r="Y7" s="1" t="s">
        <v>10</v>
      </c>
      <c r="Z7" s="3"/>
      <c r="AF7" s="19">
        <v>2.4500000000000001E-2</v>
      </c>
      <c r="AG7" s="3">
        <f t="shared" ref="AG7:AG16" si="0">AG6*(1+AF7)</f>
        <v>98.929249402500005</v>
      </c>
      <c r="AH7" s="11">
        <f>AF12</f>
        <v>-2.1999999999999999E-2</v>
      </c>
      <c r="AI7" s="1" t="s">
        <v>2581</v>
      </c>
      <c r="AP7" s="19">
        <v>2.29E-2</v>
      </c>
      <c r="AQ7" s="3">
        <f t="shared" ref="AQ7:AQ16" si="1">AQ6*(1+AP7)</f>
        <v>99.506984718099986</v>
      </c>
      <c r="AR7" s="11">
        <f>AP12</f>
        <v>-4.5600000000000002E-2</v>
      </c>
      <c r="AS7" s="1" t="s">
        <v>2581</v>
      </c>
      <c r="AZ7" s="19">
        <v>1.89E-2</v>
      </c>
      <c r="BA7" s="3">
        <f t="shared" ref="BA7:BA16" si="2">BA6*(1+AZ7)</f>
        <v>98.3689006635</v>
      </c>
      <c r="BB7" s="11">
        <f>AZ12</f>
        <v>-1.03E-2</v>
      </c>
      <c r="BC7" s="1" t="s">
        <v>2581</v>
      </c>
      <c r="BJ7" s="19">
        <v>2.29E-2</v>
      </c>
      <c r="BK7" s="3">
        <f t="shared" ref="BK7:BK16" si="3">BK6*(1+BJ7)</f>
        <v>99.506984718099986</v>
      </c>
      <c r="BL7" s="11">
        <f>BJ12</f>
        <v>-4.5600000000000002E-2</v>
      </c>
      <c r="BM7" s="1" t="s">
        <v>10</v>
      </c>
      <c r="BT7" s="19">
        <v>1.7999999999999999E-2</v>
      </c>
      <c r="BU7" s="3">
        <f t="shared" ref="BU7:BU16" si="4">BU6*(1+BT7)</f>
        <v>98.144977890000007</v>
      </c>
      <c r="BV7" s="11">
        <f>BT12</f>
        <v>-9.9000000000000008E-3</v>
      </c>
      <c r="BW7" s="1" t="s">
        <v>2581</v>
      </c>
      <c r="CD7" s="19">
        <v>2.29E-2</v>
      </c>
      <c r="CE7" s="3">
        <f t="shared" ref="CE7:CE16" si="5">CE6*(1+CD7)</f>
        <v>99.506984718099986</v>
      </c>
      <c r="CF7" s="11">
        <f>CD12</f>
        <v>-4.5600000000000002E-2</v>
      </c>
    </row>
    <row r="8" spans="2:84" x14ac:dyDescent="0.2">
      <c r="B8" s="1" t="s">
        <v>4</v>
      </c>
      <c r="J8" s="19">
        <v>1.61E-2</v>
      </c>
      <c r="K8" s="3">
        <f t="shared" ref="K8:K17" si="6">K7*(1+J8)</f>
        <v>101.2595521905</v>
      </c>
      <c r="L8" s="11">
        <f>J13</f>
        <v>-2.7400000000000001E-2</v>
      </c>
      <c r="N8" s="1" t="s">
        <v>7</v>
      </c>
      <c r="V8" s="19">
        <v>1.61E-2</v>
      </c>
      <c r="W8" s="3">
        <f t="shared" ref="W8:W17" si="7">W7*(1+V8)</f>
        <v>98.339564282400005</v>
      </c>
      <c r="X8" s="11">
        <f>V13</f>
        <v>-2.8000000000000001E-2</v>
      </c>
      <c r="Y8" s="1" t="s">
        <v>2466</v>
      </c>
      <c r="Z8" s="3"/>
      <c r="AF8" s="19">
        <v>2.3699999999999999E-2</v>
      </c>
      <c r="AG8" s="3">
        <f t="shared" si="0"/>
        <v>101.27387261333926</v>
      </c>
      <c r="AH8" s="11"/>
      <c r="AI8" s="1" t="s">
        <v>10</v>
      </c>
      <c r="AP8" s="19">
        <v>-1.72E-2</v>
      </c>
      <c r="AQ8" s="3">
        <f t="shared" si="1"/>
        <v>97.795464580948661</v>
      </c>
      <c r="AR8" s="11">
        <f>AP15</f>
        <v>-3.0000000000000001E-3</v>
      </c>
      <c r="AS8" s="1" t="s">
        <v>10</v>
      </c>
      <c r="AZ8" s="19">
        <v>1.9900000000000001E-2</v>
      </c>
      <c r="BA8" s="3">
        <f t="shared" si="2"/>
        <v>100.32644178670365</v>
      </c>
      <c r="BB8" s="11">
        <f>AZ15</f>
        <v>-1E-4</v>
      </c>
      <c r="BC8" s="1" t="s">
        <v>10</v>
      </c>
      <c r="BJ8" s="19">
        <v>-1.72E-2</v>
      </c>
      <c r="BK8" s="3">
        <f t="shared" si="3"/>
        <v>97.795464580948661</v>
      </c>
      <c r="BL8" s="11">
        <f>BJ15</f>
        <v>-3.0000000000000001E-3</v>
      </c>
      <c r="BM8" s="1" t="s">
        <v>2466</v>
      </c>
      <c r="BT8" s="19">
        <v>2.8899999999999999E-2</v>
      </c>
      <c r="BU8" s="3">
        <f t="shared" si="4"/>
        <v>100.981367751021</v>
      </c>
      <c r="BV8" s="11">
        <f>BT15</f>
        <v>-1E-4</v>
      </c>
      <c r="BW8" s="1" t="s">
        <v>10</v>
      </c>
      <c r="CD8" s="19">
        <v>-1.9E-2</v>
      </c>
      <c r="CE8" s="3">
        <f t="shared" si="5"/>
        <v>97.61635200845609</v>
      </c>
      <c r="CF8" s="11">
        <f>CD15</f>
        <v>-3.0000000000000001E-3</v>
      </c>
    </row>
    <row r="9" spans="2:84" x14ac:dyDescent="0.2">
      <c r="B9" s="1" t="s">
        <v>5</v>
      </c>
      <c r="J9" s="19">
        <v>-1.3299999999999999E-2</v>
      </c>
      <c r="K9" s="3">
        <f t="shared" si="6"/>
        <v>99.912800146366351</v>
      </c>
      <c r="L9" s="11">
        <f>J16</f>
        <v>8.0000000000000004E-4</v>
      </c>
      <c r="N9" s="1" t="s">
        <v>138</v>
      </c>
      <c r="V9" s="19">
        <v>-9.7999999999999997E-3</v>
      </c>
      <c r="W9" s="3">
        <f t="shared" si="7"/>
        <v>97.375836552432489</v>
      </c>
      <c r="X9" s="11">
        <f>V16</f>
        <v>2.8E-3</v>
      </c>
      <c r="Y9" s="1" t="s">
        <v>137</v>
      </c>
      <c r="Z9" s="3"/>
      <c r="AF9" s="19">
        <v>4.7E-2</v>
      </c>
      <c r="AG9" s="3">
        <f t="shared" si="0"/>
        <v>106.0337446261662</v>
      </c>
      <c r="AH9" s="3"/>
      <c r="AI9" s="1" t="s">
        <v>2466</v>
      </c>
      <c r="AP9" s="19">
        <v>3.8899999999999997E-2</v>
      </c>
      <c r="AQ9" s="3">
        <f t="shared" si="1"/>
        <v>101.59970815314756</v>
      </c>
      <c r="AR9" s="3"/>
      <c r="AS9" s="1" t="s">
        <v>2466</v>
      </c>
      <c r="AZ9" s="19">
        <v>4.7699999999999999E-2</v>
      </c>
      <c r="BA9" s="3">
        <f t="shared" si="2"/>
        <v>105.11201305992942</v>
      </c>
      <c r="BB9" s="11">
        <f>AZ16</f>
        <v>-1.6999999999999999E-3</v>
      </c>
      <c r="BC9" s="1" t="s">
        <v>2466</v>
      </c>
      <c r="BJ9" s="19">
        <v>3.8899999999999997E-2</v>
      </c>
      <c r="BK9" s="3">
        <f t="shared" si="3"/>
        <v>101.59970815314756</v>
      </c>
      <c r="BL9" s="11"/>
      <c r="BM9" s="1" t="s">
        <v>137</v>
      </c>
      <c r="BT9" s="19">
        <v>4.3200000000000002E-2</v>
      </c>
      <c r="BU9" s="3">
        <f t="shared" si="4"/>
        <v>105.3437628378651</v>
      </c>
      <c r="BV9" s="11"/>
      <c r="BW9" s="1" t="s">
        <v>2466</v>
      </c>
      <c r="CD9" s="19">
        <v>3.8899999999999997E-2</v>
      </c>
      <c r="CE9" s="3">
        <f t="shared" si="5"/>
        <v>101.41362810158502</v>
      </c>
      <c r="CF9" s="11"/>
    </row>
    <row r="10" spans="2:84" x14ac:dyDescent="0.2">
      <c r="B10" s="1" t="s">
        <v>6</v>
      </c>
      <c r="J10" s="19">
        <v>4.7399999999999998E-2</v>
      </c>
      <c r="K10" s="3">
        <f t="shared" si="6"/>
        <v>104.64866687330412</v>
      </c>
      <c r="L10" s="11">
        <f>J17</f>
        <v>8.0000000000000004E-4</v>
      </c>
      <c r="N10" s="1" t="s">
        <v>139</v>
      </c>
      <c r="V10" s="19">
        <v>3.7999999999999999E-2</v>
      </c>
      <c r="W10" s="3">
        <f t="shared" si="7"/>
        <v>101.07611834142493</v>
      </c>
      <c r="X10" s="3"/>
      <c r="Y10" s="1" t="s">
        <v>141</v>
      </c>
      <c r="Z10" s="3"/>
      <c r="AF10" s="19">
        <v>-1.2E-2</v>
      </c>
      <c r="AG10" s="3">
        <f t="shared" si="0"/>
        <v>104.76133969065221</v>
      </c>
      <c r="AH10" s="3"/>
      <c r="AI10" s="1" t="s">
        <v>137</v>
      </c>
      <c r="AP10" s="19">
        <v>1.78E-2</v>
      </c>
      <c r="AQ10" s="3">
        <f t="shared" si="1"/>
        <v>103.40818295827358</v>
      </c>
      <c r="AR10" s="3"/>
      <c r="AS10" s="1" t="s">
        <v>137</v>
      </c>
      <c r="AZ10" s="19">
        <v>-3.2000000000000002E-3</v>
      </c>
      <c r="BA10" s="3">
        <f t="shared" si="2"/>
        <v>104.77565461813765</v>
      </c>
      <c r="BB10" s="3"/>
      <c r="BC10" s="1" t="s">
        <v>137</v>
      </c>
      <c r="BJ10" s="19">
        <v>1.78E-2</v>
      </c>
      <c r="BK10" s="3">
        <f t="shared" si="3"/>
        <v>103.40818295827358</v>
      </c>
      <c r="BL10" s="3"/>
      <c r="BM10" s="1" t="s">
        <v>141</v>
      </c>
      <c r="BT10" s="19">
        <v>-4.8999999999999998E-3</v>
      </c>
      <c r="BU10" s="3">
        <f t="shared" si="4"/>
        <v>104.82757839995956</v>
      </c>
      <c r="BV10" s="3"/>
      <c r="BW10" s="1" t="s">
        <v>137</v>
      </c>
      <c r="CD10" s="19">
        <v>1.78E-2</v>
      </c>
      <c r="CE10" s="3">
        <f t="shared" si="5"/>
        <v>103.21879068179324</v>
      </c>
      <c r="CF10" s="3"/>
    </row>
    <row r="11" spans="2:84" x14ac:dyDescent="0.2">
      <c r="B11" s="1" t="s">
        <v>7</v>
      </c>
      <c r="J11" s="19">
        <v>3.0200000000000001E-2</v>
      </c>
      <c r="K11" s="3">
        <f t="shared" si="6"/>
        <v>107.80905661287791</v>
      </c>
      <c r="L11" s="3"/>
      <c r="N11" s="1" t="s">
        <v>140</v>
      </c>
      <c r="V11" s="19">
        <v>1.89E-2</v>
      </c>
      <c r="W11" s="3">
        <f t="shared" si="7"/>
        <v>102.98645697807785</v>
      </c>
      <c r="X11" s="3"/>
      <c r="Y11" s="1" t="s">
        <v>138</v>
      </c>
      <c r="Z11" s="3"/>
      <c r="AF11" s="19">
        <v>1.9E-3</v>
      </c>
      <c r="AG11" s="3">
        <f t="shared" si="0"/>
        <v>104.96038623606445</v>
      </c>
      <c r="AH11" s="3"/>
      <c r="AI11" s="1" t="s">
        <v>141</v>
      </c>
      <c r="AP11" s="19">
        <v>4.0000000000000001E-3</v>
      </c>
      <c r="AQ11" s="3">
        <f t="shared" si="1"/>
        <v>103.82181569010667</v>
      </c>
      <c r="AR11" s="3"/>
      <c r="AS11" s="1" t="s">
        <v>141</v>
      </c>
      <c r="AZ11" s="19">
        <v>6.7999999999999996E-3</v>
      </c>
      <c r="BA11" s="3">
        <f t="shared" si="2"/>
        <v>105.48812906954097</v>
      </c>
      <c r="BB11" s="3"/>
      <c r="BC11" s="1" t="s">
        <v>141</v>
      </c>
      <c r="BJ11" s="19">
        <v>4.0000000000000001E-3</v>
      </c>
      <c r="BK11" s="3">
        <f t="shared" si="3"/>
        <v>103.82181569010667</v>
      </c>
      <c r="BL11" s="3"/>
      <c r="BM11" s="1" t="s">
        <v>138</v>
      </c>
      <c r="BT11" s="19">
        <v>9.7999999999999997E-3</v>
      </c>
      <c r="BU11" s="3">
        <f t="shared" si="4"/>
        <v>105.85488866827917</v>
      </c>
      <c r="BV11" s="3"/>
      <c r="BW11" s="1" t="s">
        <v>141</v>
      </c>
      <c r="CD11" s="19">
        <v>4.0000000000000001E-3</v>
      </c>
      <c r="CE11" s="3">
        <f t="shared" si="5"/>
        <v>103.63166584452041</v>
      </c>
      <c r="CF11" s="3"/>
    </row>
    <row r="12" spans="2:84" x14ac:dyDescent="0.2">
      <c r="B12" s="1" t="s">
        <v>8</v>
      </c>
      <c r="J12" s="19">
        <v>7.1000000000000004E-3</v>
      </c>
      <c r="K12" s="3">
        <f t="shared" si="6"/>
        <v>108.57450091482936</v>
      </c>
      <c r="L12" s="3"/>
      <c r="N12" s="1" t="s">
        <v>6</v>
      </c>
      <c r="V12" s="19">
        <v>4.0000000000000001E-3</v>
      </c>
      <c r="W12" s="3">
        <f t="shared" si="7"/>
        <v>103.39840280599016</v>
      </c>
      <c r="X12" s="3"/>
      <c r="Y12" s="1" t="s">
        <v>7</v>
      </c>
      <c r="Z12" s="3"/>
      <c r="AF12" s="19">
        <v>-2.1999999999999999E-2</v>
      </c>
      <c r="AG12" s="3">
        <f t="shared" si="0"/>
        <v>102.65125773887104</v>
      </c>
      <c r="AH12" s="3"/>
      <c r="AI12" s="1" t="s">
        <v>138</v>
      </c>
      <c r="AP12" s="19">
        <v>-4.5600000000000002E-2</v>
      </c>
      <c r="AQ12" s="3">
        <f t="shared" si="1"/>
        <v>99.087540894637812</v>
      </c>
      <c r="AR12" s="3"/>
      <c r="AS12" s="1" t="s">
        <v>138</v>
      </c>
      <c r="AZ12" s="19">
        <v>-1.03E-2</v>
      </c>
      <c r="BA12" s="3">
        <f t="shared" si="2"/>
        <v>104.4016013401247</v>
      </c>
      <c r="BB12" s="3"/>
      <c r="BC12" s="1" t="s">
        <v>138</v>
      </c>
      <c r="BJ12" s="19">
        <v>-4.5600000000000002E-2</v>
      </c>
      <c r="BK12" s="3">
        <f t="shared" si="3"/>
        <v>99.087540894637812</v>
      </c>
      <c r="BL12" s="3"/>
      <c r="BM12" s="1" t="s">
        <v>7</v>
      </c>
      <c r="BT12" s="19">
        <v>-9.9000000000000008E-3</v>
      </c>
      <c r="BU12" s="3">
        <f t="shared" si="4"/>
        <v>104.80692527046321</v>
      </c>
      <c r="BV12" s="3"/>
      <c r="BW12" s="1" t="s">
        <v>138</v>
      </c>
      <c r="CD12" s="19">
        <v>-4.5600000000000002E-2</v>
      </c>
      <c r="CE12" s="3">
        <f t="shared" si="5"/>
        <v>98.906061882010277</v>
      </c>
      <c r="CF12" s="3"/>
    </row>
    <row r="13" spans="2:84" x14ac:dyDescent="0.2">
      <c r="B13" s="1" t="s">
        <v>9</v>
      </c>
      <c r="J13" s="19">
        <v>-2.7400000000000001E-2</v>
      </c>
      <c r="K13" s="3">
        <f t="shared" si="6"/>
        <v>105.59955958976303</v>
      </c>
      <c r="L13" s="3"/>
      <c r="N13" s="1" t="s">
        <v>141</v>
      </c>
      <c r="V13" s="19">
        <v>-2.8000000000000001E-2</v>
      </c>
      <c r="W13" s="3">
        <f t="shared" si="7"/>
        <v>100.50324752742243</v>
      </c>
      <c r="X13" s="3"/>
      <c r="Y13" s="1" t="s">
        <v>5</v>
      </c>
      <c r="Z13" s="3"/>
      <c r="AF13" s="19">
        <v>3.5200000000000002E-2</v>
      </c>
      <c r="AG13" s="3">
        <f t="shared" si="0"/>
        <v>106.26458201127929</v>
      </c>
      <c r="AH13" s="3"/>
      <c r="AI13" s="1" t="s">
        <v>5</v>
      </c>
      <c r="AP13" s="19">
        <v>3.49E-2</v>
      </c>
      <c r="AQ13" s="3">
        <f t="shared" si="1"/>
        <v>102.54569607186066</v>
      </c>
      <c r="AR13" s="3"/>
      <c r="AS13" s="1" t="s">
        <v>7</v>
      </c>
      <c r="AZ13" s="19">
        <v>3.5000000000000003E-2</v>
      </c>
      <c r="BA13" s="3">
        <f t="shared" si="2"/>
        <v>108.05565738702906</v>
      </c>
      <c r="BB13" s="3"/>
      <c r="BC13" s="1" t="s">
        <v>5</v>
      </c>
      <c r="BJ13" s="19">
        <v>3.49E-2</v>
      </c>
      <c r="BK13" s="3">
        <f t="shared" si="3"/>
        <v>102.54569607186066</v>
      </c>
      <c r="BL13" s="3"/>
      <c r="BM13" s="1" t="s">
        <v>5</v>
      </c>
      <c r="BT13" s="19">
        <v>3.6299999999999999E-2</v>
      </c>
      <c r="BU13" s="3">
        <f t="shared" si="4"/>
        <v>108.61141665778102</v>
      </c>
      <c r="BV13" s="3"/>
      <c r="BW13" s="1" t="s">
        <v>5</v>
      </c>
      <c r="CD13" s="19">
        <v>3.49E-2</v>
      </c>
      <c r="CE13" s="3">
        <f t="shared" si="5"/>
        <v>102.35788344169242</v>
      </c>
      <c r="CF13" s="3"/>
    </row>
    <row r="14" spans="2:84" x14ac:dyDescent="0.2">
      <c r="B14" s="1" t="s">
        <v>10</v>
      </c>
      <c r="J14" s="19">
        <v>2.75E-2</v>
      </c>
      <c r="K14" s="3">
        <f t="shared" si="6"/>
        <v>108.50354747848152</v>
      </c>
      <c r="L14" s="3"/>
      <c r="N14" s="1" t="s">
        <v>1</v>
      </c>
      <c r="V14" s="19">
        <v>3.5499999999999997E-2</v>
      </c>
      <c r="W14" s="3">
        <f t="shared" si="7"/>
        <v>104.07111281464594</v>
      </c>
      <c r="X14" s="3"/>
      <c r="Z14" s="3"/>
      <c r="AF14" s="19">
        <v>3.0800000000000001E-2</v>
      </c>
      <c r="AG14" s="3">
        <f t="shared" si="0"/>
        <v>109.53753113722668</v>
      </c>
      <c r="AH14" s="3"/>
      <c r="AP14" s="19">
        <v>1.55E-2</v>
      </c>
      <c r="AQ14" s="3">
        <f t="shared" si="1"/>
        <v>104.13515436097451</v>
      </c>
      <c r="AR14" s="3"/>
      <c r="AS14" s="1" t="s">
        <v>5</v>
      </c>
      <c r="AZ14" s="19">
        <v>3.1699999999999999E-2</v>
      </c>
      <c r="BA14" s="3">
        <f t="shared" si="2"/>
        <v>111.48102172619788</v>
      </c>
      <c r="BB14" s="3"/>
      <c r="BJ14" s="19">
        <v>1.55E-2</v>
      </c>
      <c r="BK14" s="3">
        <f t="shared" si="3"/>
        <v>104.13515436097451</v>
      </c>
      <c r="BL14" s="3"/>
      <c r="BT14" s="19">
        <v>3.1699999999999999E-2</v>
      </c>
      <c r="BU14" s="3">
        <f t="shared" si="4"/>
        <v>112.05439856583268</v>
      </c>
      <c r="BV14" s="3"/>
      <c r="CD14" s="19">
        <v>1.55E-2</v>
      </c>
      <c r="CE14" s="3">
        <f t="shared" si="5"/>
        <v>103.94443063503866</v>
      </c>
      <c r="CF14" s="3"/>
    </row>
    <row r="15" spans="2:84" x14ac:dyDescent="0.2">
      <c r="J15" s="19">
        <v>1.7600000000000001E-2</v>
      </c>
      <c r="K15" s="3">
        <f t="shared" si="6"/>
        <v>110.41320991410281</v>
      </c>
      <c r="L15" s="3"/>
      <c r="V15" s="19">
        <v>1.7600000000000001E-2</v>
      </c>
      <c r="W15" s="3">
        <f t="shared" si="7"/>
        <v>105.90276440018371</v>
      </c>
      <c r="X15" s="3"/>
      <c r="Y15" s="1" t="s">
        <v>12</v>
      </c>
      <c r="Z15" s="3"/>
      <c r="AF15" s="19">
        <v>7.7000000000000002E-3</v>
      </c>
      <c r="AG15" s="3">
        <f t="shared" si="0"/>
        <v>110.38097012698333</v>
      </c>
      <c r="AH15" s="3"/>
      <c r="AI15" s="1" t="s">
        <v>21</v>
      </c>
      <c r="AP15" s="19">
        <v>-3.0000000000000001E-3</v>
      </c>
      <c r="AQ15" s="3">
        <f t="shared" si="1"/>
        <v>103.82274889789159</v>
      </c>
      <c r="AR15" s="3"/>
      <c r="AZ15" s="19">
        <v>-1E-4</v>
      </c>
      <c r="BA15" s="3">
        <f t="shared" si="2"/>
        <v>111.46987362402527</v>
      </c>
      <c r="BB15" s="3"/>
      <c r="BC15" s="2" t="s">
        <v>2847</v>
      </c>
      <c r="BJ15" s="19">
        <v>-3.0000000000000001E-3</v>
      </c>
      <c r="BK15" s="3">
        <f t="shared" si="3"/>
        <v>103.82274889789159</v>
      </c>
      <c r="BL15" s="3"/>
      <c r="BM15" s="2" t="s">
        <v>2847</v>
      </c>
      <c r="BT15" s="19">
        <v>-1E-4</v>
      </c>
      <c r="BU15" s="3">
        <f t="shared" si="4"/>
        <v>112.0431931259761</v>
      </c>
      <c r="BV15" s="3"/>
      <c r="BW15" s="2" t="s">
        <v>2847</v>
      </c>
      <c r="CD15" s="19">
        <v>-3.0000000000000001E-3</v>
      </c>
      <c r="CE15" s="3">
        <f t="shared" si="5"/>
        <v>103.63259734313354</v>
      </c>
      <c r="CF15" s="3"/>
    </row>
    <row r="16" spans="2:84" x14ac:dyDescent="0.2">
      <c r="B16" s="2" t="s">
        <v>11</v>
      </c>
      <c r="J16" s="19">
        <v>8.0000000000000004E-4</v>
      </c>
      <c r="K16" s="3">
        <f t="shared" si="6"/>
        <v>110.50154048203407</v>
      </c>
      <c r="L16" s="3"/>
      <c r="N16" s="2" t="s">
        <v>11</v>
      </c>
      <c r="V16" s="19">
        <v>2.8E-3</v>
      </c>
      <c r="W16" s="3">
        <f t="shared" si="7"/>
        <v>106.19929214050421</v>
      </c>
      <c r="X16" s="3"/>
      <c r="Y16" s="1" t="s">
        <v>2431</v>
      </c>
      <c r="Z16" s="3"/>
      <c r="AF16" s="19">
        <v>6.1000000000000004E-3</v>
      </c>
      <c r="AG16" s="3">
        <f t="shared" si="0"/>
        <v>111.05429404475792</v>
      </c>
      <c r="AH16" s="3"/>
      <c r="AI16" s="1" t="s">
        <v>14</v>
      </c>
      <c r="AP16" s="19">
        <v>2.3E-3</v>
      </c>
      <c r="AQ16" s="3">
        <f t="shared" si="1"/>
        <v>104.06154122035673</v>
      </c>
      <c r="AR16" s="3"/>
      <c r="AS16" s="2" t="s">
        <v>2847</v>
      </c>
      <c r="AZ16" s="19">
        <v>-1.6999999999999999E-3</v>
      </c>
      <c r="BA16" s="3">
        <f t="shared" si="2"/>
        <v>111.28037483886442</v>
      </c>
      <c r="BB16" s="3"/>
      <c r="BC16" s="1" t="s">
        <v>21</v>
      </c>
      <c r="BJ16" s="19">
        <v>2.3E-3</v>
      </c>
      <c r="BK16" s="3">
        <f t="shared" si="3"/>
        <v>104.06154122035673</v>
      </c>
      <c r="BL16" s="3"/>
      <c r="BM16" s="1" t="s">
        <v>12</v>
      </c>
      <c r="BT16" s="19">
        <v>5.0000000000000001E-4</v>
      </c>
      <c r="BU16" s="3">
        <f t="shared" si="4"/>
        <v>112.09921472253909</v>
      </c>
      <c r="BV16" s="3"/>
      <c r="BW16" s="1" t="s">
        <v>21</v>
      </c>
      <c r="CD16" s="19">
        <v>2.3E-3</v>
      </c>
      <c r="CE16" s="3">
        <f t="shared" si="5"/>
        <v>103.87095231702274</v>
      </c>
      <c r="CF16" s="3"/>
    </row>
    <row r="17" spans="2:84" x14ac:dyDescent="0.2">
      <c r="B17" s="1" t="s">
        <v>12</v>
      </c>
      <c r="J17" s="19">
        <v>8.0000000000000004E-4</v>
      </c>
      <c r="K17" s="3">
        <f t="shared" si="6"/>
        <v>110.58994171441969</v>
      </c>
      <c r="L17" s="3"/>
      <c r="N17" s="1" t="s">
        <v>12</v>
      </c>
      <c r="V17" s="19">
        <v>4.4000000000000003E-3</v>
      </c>
      <c r="W17" s="3">
        <f t="shared" si="7"/>
        <v>106.66656902592243</v>
      </c>
      <c r="X17" s="3"/>
      <c r="Y17" s="1" t="s">
        <v>16</v>
      </c>
      <c r="Z17" s="3"/>
      <c r="AE17" s="8" t="s">
        <v>173</v>
      </c>
      <c r="AF17" s="11">
        <f>AG16/100 - 1</f>
        <v>0.11054294044757929</v>
      </c>
      <c r="AG17" s="3">
        <f>V17</f>
        <v>4.4000000000000003E-3</v>
      </c>
      <c r="AH17" s="3"/>
      <c r="AI17" s="1" t="s">
        <v>17</v>
      </c>
      <c r="AO17" s="8" t="s">
        <v>173</v>
      </c>
      <c r="AP17" s="11">
        <f>AQ16/100 - 1</f>
        <v>4.0615412203567347E-2</v>
      </c>
      <c r="AQ17" s="3">
        <f>AF17</f>
        <v>0.11054294044757929</v>
      </c>
      <c r="AR17" s="3"/>
      <c r="AS17" s="1" t="s">
        <v>12</v>
      </c>
      <c r="AY17" s="8" t="s">
        <v>173</v>
      </c>
      <c r="AZ17" s="11">
        <f>BA16/100 - 1</f>
        <v>0.11280374838864415</v>
      </c>
      <c r="BA17" s="3">
        <f>AP17</f>
        <v>4.0615412203567347E-2</v>
      </c>
      <c r="BB17" s="3"/>
      <c r="BC17" s="1" t="s">
        <v>14</v>
      </c>
      <c r="BI17" s="8" t="s">
        <v>173</v>
      </c>
      <c r="BJ17" s="11">
        <f>BK16/100 - 1</f>
        <v>4.0615412203567347E-2</v>
      </c>
      <c r="BK17" s="3">
        <f>AZ17</f>
        <v>0.11280374838864415</v>
      </c>
      <c r="BL17" s="3"/>
      <c r="BM17" s="1" t="s">
        <v>3023</v>
      </c>
      <c r="BS17" s="8" t="s">
        <v>173</v>
      </c>
      <c r="BT17" s="11">
        <f>BU16/100 - 1</f>
        <v>0.12099214722539098</v>
      </c>
      <c r="BU17" s="3"/>
      <c r="BV17" s="3"/>
      <c r="BW17" s="1" t="s">
        <v>14</v>
      </c>
      <c r="CC17" s="8" t="s">
        <v>173</v>
      </c>
      <c r="CD17" s="11">
        <f>CE16/100 - 1</f>
        <v>3.8709523170227467E-2</v>
      </c>
      <c r="CE17" s="3"/>
      <c r="CF17" s="3"/>
    </row>
    <row r="18" spans="2:84" x14ac:dyDescent="0.2">
      <c r="B18" s="1" t="s">
        <v>13</v>
      </c>
      <c r="I18" s="8" t="s">
        <v>173</v>
      </c>
      <c r="J18" s="11">
        <f>SUM(J6:J17)</f>
        <v>0.10339999999999999</v>
      </c>
      <c r="K18" s="3" t="s">
        <v>204</v>
      </c>
      <c r="L18" s="3"/>
      <c r="N18" s="1" t="s">
        <v>142</v>
      </c>
      <c r="U18" s="8" t="s">
        <v>173</v>
      </c>
      <c r="V18" s="11">
        <f>W17/100 - 1</f>
        <v>6.6665690259224197E-2</v>
      </c>
      <c r="W18" s="3" t="str">
        <f>K18</f>
        <v>per år</v>
      </c>
      <c r="X18" s="3"/>
      <c r="Y18" s="1" t="s">
        <v>17</v>
      </c>
      <c r="Z18" s="3"/>
      <c r="AE18" s="9" t="s">
        <v>172</v>
      </c>
      <c r="AF18" s="12">
        <f>AVERAGE(AF5:AF16)</f>
        <v>9.0583333333333332E-3</v>
      </c>
      <c r="AG18" s="3">
        <f>AI164</f>
        <v>0</v>
      </c>
      <c r="AH18" s="3"/>
      <c r="AI18" s="1" t="s">
        <v>18</v>
      </c>
      <c r="AO18" s="9" t="s">
        <v>172</v>
      </c>
      <c r="AP18" s="12">
        <f>AVERAGE(AP5:AP16)</f>
        <v>3.6583333333333316E-3</v>
      </c>
      <c r="AQ18" s="3">
        <f>AS164</f>
        <v>0</v>
      </c>
      <c r="AR18" s="3"/>
      <c r="AS18" s="1" t="s">
        <v>14</v>
      </c>
      <c r="AY18" s="9" t="s">
        <v>172</v>
      </c>
      <c r="AZ18" s="12">
        <f>AVERAGE(AZ5:AZ16)</f>
        <v>9.1916666666666674E-3</v>
      </c>
      <c r="BA18" s="3">
        <f>BC164</f>
        <v>0</v>
      </c>
      <c r="BB18" s="3"/>
      <c r="BC18" s="1" t="s">
        <v>17</v>
      </c>
      <c r="BI18" s="9" t="s">
        <v>172</v>
      </c>
      <c r="BJ18" s="12">
        <f>AVERAGE(BJ5:BJ16)</f>
        <v>3.6583333333333316E-3</v>
      </c>
      <c r="BK18" s="3">
        <f>BM164</f>
        <v>0</v>
      </c>
      <c r="BL18" s="3"/>
      <c r="BM18" s="1" t="s">
        <v>17</v>
      </c>
      <c r="BS18" s="9" t="s">
        <v>172</v>
      </c>
      <c r="BT18" s="12">
        <f>AVERAGE(BT5:BT16)</f>
        <v>9.8083333333333338E-3</v>
      </c>
      <c r="BU18" s="3"/>
      <c r="BV18" s="3"/>
      <c r="BW18" s="1" t="s">
        <v>17</v>
      </c>
      <c r="CC18" s="9" t="s">
        <v>172</v>
      </c>
      <c r="CD18" s="12">
        <f>AVERAGE(CD5:CD16)</f>
        <v>3.5083333333333321E-3</v>
      </c>
      <c r="CE18" s="3"/>
      <c r="CF18" s="3"/>
    </row>
    <row r="19" spans="2:84" x14ac:dyDescent="0.2">
      <c r="B19" s="1" t="s">
        <v>14</v>
      </c>
      <c r="I19" s="9" t="s">
        <v>172</v>
      </c>
      <c r="J19" s="11">
        <f>J18/12</f>
        <v>8.6166666666666666E-3</v>
      </c>
      <c r="K19" s="3">
        <f>X165</f>
        <v>0</v>
      </c>
      <c r="L19" s="3"/>
      <c r="N19" s="1" t="s">
        <v>14</v>
      </c>
      <c r="U19" s="9" t="s">
        <v>172</v>
      </c>
      <c r="V19" s="12">
        <f>AVERAGE(V6:V17)</f>
        <v>5.6333333333333331E-3</v>
      </c>
      <c r="W19" s="3">
        <f>X165</f>
        <v>0</v>
      </c>
      <c r="X19" s="3"/>
      <c r="Y19" s="1" t="s">
        <v>18</v>
      </c>
      <c r="Z19" s="3"/>
      <c r="AE19" s="9" t="s">
        <v>181</v>
      </c>
      <c r="AF19" s="12">
        <f>_xlfn.STDEV.S(AF5:AF16)*12^0.5</f>
        <v>8.6146782771141156E-2</v>
      </c>
      <c r="AG19" s="3"/>
      <c r="AH19" s="3"/>
      <c r="AI19" s="1" t="s">
        <v>19</v>
      </c>
      <c r="AO19" s="9" t="s">
        <v>181</v>
      </c>
      <c r="AP19" s="12">
        <f>_xlfn.STDEV.S(AP5:AP16)*12^0.5</f>
        <v>9.3299454348984179E-2</v>
      </c>
      <c r="AQ19" s="3"/>
      <c r="AR19" s="3"/>
      <c r="AS19" s="1" t="s">
        <v>16</v>
      </c>
      <c r="AY19" s="9" t="s">
        <v>181</v>
      </c>
      <c r="AZ19" s="12">
        <f>_xlfn.STDEV.S(AZ5:AZ16)*12^0.5</f>
        <v>8.0288723310992377E-2</v>
      </c>
      <c r="BA19" s="3"/>
      <c r="BB19" s="3"/>
      <c r="BC19" s="1" t="s">
        <v>18</v>
      </c>
      <c r="BI19" s="9" t="s">
        <v>181</v>
      </c>
      <c r="BJ19" s="12">
        <f>_xlfn.STDEV.S(BJ5:BJ16)*12^0.5</f>
        <v>9.3299454348984179E-2</v>
      </c>
      <c r="BK19" s="3"/>
      <c r="BL19" s="3"/>
      <c r="BM19" s="1" t="s">
        <v>18</v>
      </c>
      <c r="BS19" s="9" t="s">
        <v>181</v>
      </c>
      <c r="BT19" s="12">
        <f>_xlfn.STDEV.S(BT5:BT16)*12^0.5</f>
        <v>8.0236802936399107E-2</v>
      </c>
      <c r="BU19" s="3"/>
      <c r="BV19" s="3"/>
      <c r="BW19" s="1" t="s">
        <v>18</v>
      </c>
      <c r="CC19" s="9" t="s">
        <v>181</v>
      </c>
      <c r="CD19" s="12">
        <f>_xlfn.STDEV.S(CD5:CD16)*12^0.5</f>
        <v>9.3754704124404037E-2</v>
      </c>
      <c r="CE19" s="3"/>
      <c r="CF19" s="3"/>
    </row>
    <row r="20" spans="2:84" x14ac:dyDescent="0.2">
      <c r="B20" s="1" t="s">
        <v>15</v>
      </c>
      <c r="I20" s="9" t="s">
        <v>181</v>
      </c>
      <c r="J20" s="11">
        <f>_xlfn.STDEV.S(J6:J17)*12^0.5</f>
        <v>7.1466635572132536E-2</v>
      </c>
      <c r="K20" s="3"/>
      <c r="L20" s="3"/>
      <c r="N20" s="1" t="s">
        <v>16</v>
      </c>
      <c r="U20" s="9" t="s">
        <v>181</v>
      </c>
      <c r="V20" s="12">
        <f>_xlfn.STDEV.S(V6:V17)*12^0.5</f>
        <v>7.9288563889355207E-2</v>
      </c>
      <c r="W20" s="3"/>
      <c r="X20" s="3"/>
      <c r="Y20" s="1" t="s">
        <v>19</v>
      </c>
      <c r="Z20" s="3"/>
      <c r="AE20" s="4" t="s">
        <v>171</v>
      </c>
      <c r="AF20" s="13">
        <f>(AF17-B151)/AF19</f>
        <v>0.93495006843785311</v>
      </c>
      <c r="AG20" s="3"/>
      <c r="AH20" s="3"/>
      <c r="AI20" s="1" t="s">
        <v>20</v>
      </c>
      <c r="AO20" s="4" t="s">
        <v>171</v>
      </c>
      <c r="AP20" s="13">
        <f>(AP17-B151)/AP19</f>
        <v>0.11377785944878815</v>
      </c>
      <c r="AQ20" s="3"/>
      <c r="AR20" s="3"/>
      <c r="AS20" s="1" t="s">
        <v>17</v>
      </c>
      <c r="AY20" s="4" t="s">
        <v>171</v>
      </c>
      <c r="AZ20" s="13">
        <f>(AZ17-B151)/AZ19</f>
        <v>1.0313247611113459</v>
      </c>
      <c r="BA20" s="3"/>
      <c r="BB20" s="3"/>
      <c r="BC20" s="1" t="s">
        <v>19</v>
      </c>
      <c r="BI20" s="4" t="s">
        <v>171</v>
      </c>
      <c r="BJ20" s="13">
        <f>(BJ17-B151)/BJ19</f>
        <v>0.11377785944878815</v>
      </c>
      <c r="BK20" s="3"/>
      <c r="BL20" s="3"/>
      <c r="BM20" s="1" t="s">
        <v>19</v>
      </c>
      <c r="BS20" s="4" t="s">
        <v>171</v>
      </c>
      <c r="BT20" s="13">
        <f>(BT17-B151)/BT19</f>
        <v>1.1340450254170429</v>
      </c>
      <c r="BU20" s="3"/>
      <c r="BV20" s="3"/>
      <c r="BW20" s="1" t="s">
        <v>19</v>
      </c>
      <c r="CC20" s="4" t="s">
        <v>171</v>
      </c>
      <c r="CD20" s="13">
        <f>(CD17-B151)/CD19</f>
        <v>9.2896919163338365E-2</v>
      </c>
      <c r="CE20" s="3"/>
      <c r="CF20" s="3"/>
    </row>
    <row r="21" spans="2:84" x14ac:dyDescent="0.2">
      <c r="B21" s="1" t="s">
        <v>16</v>
      </c>
      <c r="I21" s="4" t="s">
        <v>171</v>
      </c>
      <c r="J21" s="14">
        <f>(J18-B151)/J20</f>
        <v>1.0270526856677908</v>
      </c>
      <c r="K21" s="3"/>
      <c r="L21" s="3"/>
      <c r="N21" s="1" t="s">
        <v>17</v>
      </c>
      <c r="U21" s="4" t="s">
        <v>171</v>
      </c>
      <c r="V21" s="13">
        <f>(V18-B151)/V20</f>
        <v>0.4624335271148316</v>
      </c>
      <c r="W21" s="3"/>
      <c r="X21" s="3"/>
      <c r="Y21" s="1" t="s">
        <v>2432</v>
      </c>
      <c r="Z21" s="3"/>
      <c r="AE21" s="8" t="s">
        <v>178</v>
      </c>
      <c r="AF21" s="11">
        <f>_xlfn.STDEV.S(AH5:AH7)*12^0.5</f>
        <v>4.6357307945997017E-2</v>
      </c>
      <c r="AG21" s="3"/>
      <c r="AH21" s="3"/>
      <c r="AI21" s="1" t="s">
        <v>13</v>
      </c>
      <c r="AO21" s="8" t="s">
        <v>178</v>
      </c>
      <c r="AP21" s="11">
        <f>_xlfn.STDEV.S(AR5:AR7)*12^0.5</f>
        <v>5.3025654168524915E-2</v>
      </c>
      <c r="AQ21" s="3"/>
      <c r="AR21" s="3"/>
      <c r="AS21" s="1" t="s">
        <v>18</v>
      </c>
      <c r="AY21" s="8" t="s">
        <v>178</v>
      </c>
      <c r="AZ21" s="11">
        <f>_xlfn.STDEV.S(BB5:BB9)*12^0.5</f>
        <v>5.538750761679026E-2</v>
      </c>
      <c r="BA21" s="3"/>
      <c r="BB21" s="3"/>
      <c r="BC21" s="1" t="s">
        <v>20</v>
      </c>
      <c r="BI21" s="8" t="s">
        <v>178</v>
      </c>
      <c r="BJ21" s="11">
        <f>_xlfn.STDEV.S(BL5:BL8)*12^0.5</f>
        <v>6.9922457050650047E-2</v>
      </c>
      <c r="BK21" s="3"/>
      <c r="BL21" s="3"/>
      <c r="BM21" s="1" t="s">
        <v>2432</v>
      </c>
      <c r="BS21" s="8" t="s">
        <v>178</v>
      </c>
      <c r="BT21" s="11">
        <f>_xlfn.STDEV.S(BV5:BV8)*12^0.5</f>
        <v>5.971231028858287E-2</v>
      </c>
      <c r="BU21" s="3"/>
      <c r="BV21" s="3"/>
      <c r="BW21" s="1" t="s">
        <v>20</v>
      </c>
      <c r="CC21" s="8" t="s">
        <v>178</v>
      </c>
      <c r="CD21" s="11">
        <f>_xlfn.STDEV.S(CF5:CF8)*12^0.5</f>
        <v>6.8999927536193828E-2</v>
      </c>
      <c r="CE21" s="3"/>
      <c r="CF21" s="3"/>
    </row>
    <row r="22" spans="2:84" x14ac:dyDescent="0.2">
      <c r="B22" s="1" t="s">
        <v>17</v>
      </c>
      <c r="I22" s="8" t="s">
        <v>178</v>
      </c>
      <c r="J22" s="11">
        <f>_xlfn.STDEV.S(L6:L10)*12^0.5</f>
        <v>4.0521845959926368E-2</v>
      </c>
      <c r="K22" s="3"/>
      <c r="L22" s="3"/>
      <c r="N22" s="1" t="s">
        <v>18</v>
      </c>
      <c r="U22" s="8" t="s">
        <v>178</v>
      </c>
      <c r="V22" s="11">
        <f>_xlfn.STDEV.S(X6:X9)*12^0.5</f>
        <v>6.4749054047144178E-2</v>
      </c>
      <c r="W22" s="3"/>
      <c r="X22" s="3"/>
      <c r="Y22" s="1" t="s">
        <v>20</v>
      </c>
      <c r="Z22" s="3"/>
      <c r="AE22" s="8" t="s">
        <v>177</v>
      </c>
      <c r="AF22" s="14">
        <f>(AF17-B151)/AF21</f>
        <v>1.7374378283874057</v>
      </c>
      <c r="AG22" s="3"/>
      <c r="AH22" s="3"/>
      <c r="AI22" s="1" t="s">
        <v>2467</v>
      </c>
      <c r="AO22" s="8" t="s">
        <v>177</v>
      </c>
      <c r="AP22" s="14">
        <f>(AP17-B151)/AP21</f>
        <v>0.20019389425785658</v>
      </c>
      <c r="AQ22" s="3"/>
      <c r="AR22" s="3"/>
      <c r="AS22" s="1" t="s">
        <v>19</v>
      </c>
      <c r="AY22" s="8" t="s">
        <v>177</v>
      </c>
      <c r="AZ22" s="14">
        <f>(AZ17-B151)/AZ21</f>
        <v>1.494989609598228</v>
      </c>
      <c r="BA22" s="3"/>
      <c r="BB22" s="3"/>
      <c r="BC22" s="1" t="s">
        <v>13</v>
      </c>
      <c r="BI22" s="8" t="s">
        <v>177</v>
      </c>
      <c r="BJ22" s="14">
        <f>(BJ17-B151)/BJ21</f>
        <v>0.15181692193507751</v>
      </c>
      <c r="BK22" s="3"/>
      <c r="BL22" s="3"/>
      <c r="BM22" s="1" t="s">
        <v>20</v>
      </c>
      <c r="BS22" s="8" t="s">
        <v>177</v>
      </c>
      <c r="BT22" s="14">
        <f>(BT17-B151)/BT21</f>
        <v>1.52384234985443</v>
      </c>
      <c r="BU22" s="3"/>
      <c r="BV22" s="3"/>
      <c r="BW22" s="1" t="s">
        <v>13</v>
      </c>
      <c r="CC22" s="8" t="s">
        <v>177</v>
      </c>
      <c r="CD22" s="14">
        <f>(CD17-B151)/CD21</f>
        <v>0.12622510604317516</v>
      </c>
      <c r="CE22" s="3"/>
      <c r="CF22" s="3"/>
    </row>
    <row r="23" spans="2:84" x14ac:dyDescent="0.2">
      <c r="B23" s="1" t="s">
        <v>18</v>
      </c>
      <c r="I23" s="8" t="s">
        <v>177</v>
      </c>
      <c r="J23" s="14">
        <f>(J18-B151)/J22</f>
        <v>1.8113686151560842</v>
      </c>
      <c r="K23" s="3"/>
      <c r="L23" s="3"/>
      <c r="N23" s="1" t="s">
        <v>19</v>
      </c>
      <c r="U23" s="8" t="s">
        <v>177</v>
      </c>
      <c r="V23" s="14">
        <f>(V18-B151)/V22</f>
        <v>0.56627375949813397</v>
      </c>
      <c r="W23" s="3"/>
      <c r="X23" s="3"/>
      <c r="Y23" s="1" t="s">
        <v>13</v>
      </c>
      <c r="Z23" s="3"/>
      <c r="AE23" s="6" t="s">
        <v>179</v>
      </c>
      <c r="AF23" s="11">
        <f>AF5</f>
        <v>-3.85E-2</v>
      </c>
      <c r="AG23" s="3"/>
      <c r="AH23" s="3"/>
      <c r="AI23" s="1" t="s">
        <v>2468</v>
      </c>
      <c r="AO23" s="6" t="s">
        <v>179</v>
      </c>
      <c r="AP23" s="11">
        <f>AP12</f>
        <v>-4.5600000000000002E-2</v>
      </c>
      <c r="AQ23" s="3"/>
      <c r="AR23" s="3"/>
      <c r="AS23" s="1" t="s">
        <v>2432</v>
      </c>
      <c r="AY23" s="6" t="s">
        <v>179</v>
      </c>
      <c r="AZ23" s="11">
        <f>AZ5</f>
        <v>-3.85E-2</v>
      </c>
      <c r="BA23" s="3"/>
      <c r="BB23" s="3"/>
      <c r="BC23" s="1" t="s">
        <v>2467</v>
      </c>
      <c r="BI23" s="6" t="s">
        <v>179</v>
      </c>
      <c r="BJ23" s="11">
        <f>BJ12</f>
        <v>-4.5600000000000002E-2</v>
      </c>
      <c r="BK23" s="3"/>
      <c r="BL23" s="3"/>
      <c r="BM23" s="1" t="s">
        <v>13</v>
      </c>
      <c r="BS23" s="6" t="s">
        <v>179</v>
      </c>
      <c r="BT23" s="11">
        <f>BT5</f>
        <v>-3.85E-2</v>
      </c>
      <c r="BU23" s="3"/>
      <c r="BV23" s="3"/>
      <c r="BW23" s="1" t="s">
        <v>2467</v>
      </c>
      <c r="CC23" s="6" t="s">
        <v>179</v>
      </c>
      <c r="CD23" s="11">
        <f>CD12</f>
        <v>-4.5600000000000002E-2</v>
      </c>
      <c r="CE23" s="3"/>
      <c r="CF23" s="3"/>
    </row>
    <row r="24" spans="2:84" x14ac:dyDescent="0.2">
      <c r="B24" s="1" t="s">
        <v>19</v>
      </c>
      <c r="I24" s="6" t="s">
        <v>179</v>
      </c>
      <c r="J24" s="11">
        <f>J13</f>
        <v>-2.7400000000000001E-2</v>
      </c>
      <c r="K24" s="3"/>
      <c r="L24" s="3"/>
      <c r="N24" s="1" t="s">
        <v>20</v>
      </c>
      <c r="U24" s="6" t="s">
        <v>179</v>
      </c>
      <c r="V24" s="11">
        <f>V6</f>
        <v>-3.9199999999999999E-2</v>
      </c>
      <c r="W24" s="3"/>
      <c r="X24" s="3"/>
      <c r="Y24" s="1" t="s">
        <v>21</v>
      </c>
      <c r="Z24" s="3"/>
      <c r="AE24" s="6" t="s">
        <v>182</v>
      </c>
      <c r="AF24" s="14">
        <f>SUMIF(AF5:AF16,"&gt;0") / ABS(SUMIF(AF5:AF16,"&lt;0"))</f>
        <v>2.499310344827586</v>
      </c>
      <c r="AG24" s="3"/>
      <c r="AH24" s="3"/>
      <c r="AI24" s="1" t="s">
        <v>2469</v>
      </c>
      <c r="AO24" s="6" t="s">
        <v>182</v>
      </c>
      <c r="AP24" s="14">
        <f>SUMIF(AP5:AP16,"&gt;0") / ABS(SUMIF(AP5:AP16,"&lt;0"))</f>
        <v>1.4098972922502333</v>
      </c>
      <c r="AQ24" s="3"/>
      <c r="AR24" s="3"/>
      <c r="AS24" s="1" t="s">
        <v>20</v>
      </c>
      <c r="BC24" s="1" t="s">
        <v>2468</v>
      </c>
      <c r="BM24" s="1" t="s">
        <v>21</v>
      </c>
      <c r="BW24" s="1" t="s">
        <v>2468</v>
      </c>
    </row>
    <row r="25" spans="2:84" x14ac:dyDescent="0.2">
      <c r="B25" s="1" t="s">
        <v>20</v>
      </c>
      <c r="I25" s="6" t="s">
        <v>182</v>
      </c>
      <c r="J25" s="14">
        <f>SUMIF(J6:J17,"&gt;0") / ABS(SUMIF(J6:J17,"&lt;0"))</f>
        <v>3.084677419354839</v>
      </c>
      <c r="K25" s="3"/>
      <c r="L25" s="3"/>
      <c r="N25" s="1" t="s">
        <v>13</v>
      </c>
      <c r="U25" s="6" t="s">
        <v>182</v>
      </c>
      <c r="V25" s="14">
        <f>SUMIF(V6:V17,"&gt;0") / ABS(SUMIF(V6:V17,"&lt;0"))</f>
        <v>1.8779220779220778</v>
      </c>
      <c r="W25" s="3"/>
      <c r="X25" s="3"/>
      <c r="Z25" s="3"/>
      <c r="AS25" s="1" t="s">
        <v>13</v>
      </c>
      <c r="BC25" s="1" t="s">
        <v>2469</v>
      </c>
      <c r="BM25" s="1" t="s">
        <v>3024</v>
      </c>
      <c r="BW25" s="1" t="s">
        <v>2469</v>
      </c>
    </row>
    <row r="26" spans="2:84" x14ac:dyDescent="0.2">
      <c r="B26" s="1" t="s">
        <v>21</v>
      </c>
      <c r="J26" s="3"/>
      <c r="K26" s="3"/>
      <c r="L26" s="3"/>
      <c r="N26" s="1" t="s">
        <v>21</v>
      </c>
      <c r="V26" s="3"/>
      <c r="W26" s="3"/>
      <c r="X26" s="3"/>
      <c r="Y26" s="1" t="s">
        <v>23</v>
      </c>
      <c r="Z26" s="3"/>
      <c r="AI26" s="1" t="s">
        <v>30</v>
      </c>
      <c r="AS26" s="1" t="s">
        <v>21</v>
      </c>
    </row>
    <row r="27" spans="2:84" x14ac:dyDescent="0.2">
      <c r="Y27" s="1" t="s">
        <v>2433</v>
      </c>
      <c r="AI27" s="1" t="s">
        <v>23</v>
      </c>
      <c r="BC27" s="2" t="s">
        <v>2848</v>
      </c>
      <c r="BM27" s="2" t="s">
        <v>2848</v>
      </c>
      <c r="BW27" s="2" t="s">
        <v>2848</v>
      </c>
    </row>
    <row r="28" spans="2:84" x14ac:dyDescent="0.2">
      <c r="B28" s="2" t="s">
        <v>22</v>
      </c>
      <c r="N28" s="2" t="s">
        <v>22</v>
      </c>
      <c r="Y28" s="1" t="s">
        <v>25</v>
      </c>
      <c r="AI28" s="1" t="s">
        <v>2470</v>
      </c>
      <c r="AS28" s="2" t="s">
        <v>2848</v>
      </c>
      <c r="BC28" s="1" t="s">
        <v>30</v>
      </c>
      <c r="BM28" s="1" t="s">
        <v>23</v>
      </c>
      <c r="BW28" s="1" t="s">
        <v>30</v>
      </c>
    </row>
    <row r="29" spans="2:84" x14ac:dyDescent="0.2">
      <c r="B29" s="1" t="s">
        <v>23</v>
      </c>
      <c r="N29" s="1" t="s">
        <v>23</v>
      </c>
      <c r="Y29" s="1" t="s">
        <v>26</v>
      </c>
      <c r="AI29" s="1" t="s">
        <v>2471</v>
      </c>
      <c r="AS29" s="1" t="s">
        <v>23</v>
      </c>
      <c r="BC29" s="1" t="s">
        <v>23</v>
      </c>
      <c r="BM29" s="1" t="s">
        <v>2433</v>
      </c>
      <c r="BW29" s="1" t="s">
        <v>23</v>
      </c>
    </row>
    <row r="30" spans="2:84" x14ac:dyDescent="0.2">
      <c r="B30" s="1" t="s">
        <v>24</v>
      </c>
      <c r="N30" s="1" t="s">
        <v>24</v>
      </c>
      <c r="Y30" s="1" t="s">
        <v>27</v>
      </c>
      <c r="AI30" s="1" t="s">
        <v>2472</v>
      </c>
      <c r="AS30" s="1" t="s">
        <v>32</v>
      </c>
      <c r="BC30" s="1" t="s">
        <v>2470</v>
      </c>
      <c r="BM30" s="1" t="s">
        <v>27</v>
      </c>
      <c r="BW30" s="1" t="s">
        <v>2470</v>
      </c>
    </row>
    <row r="31" spans="2:84" x14ac:dyDescent="0.2">
      <c r="B31" s="1" t="s">
        <v>25</v>
      </c>
      <c r="N31" s="1" t="s">
        <v>25</v>
      </c>
      <c r="Y31" s="1" t="s">
        <v>28</v>
      </c>
      <c r="AI31" s="1" t="s">
        <v>24</v>
      </c>
      <c r="AS31" s="1" t="s">
        <v>25</v>
      </c>
      <c r="BC31" s="1" t="s">
        <v>2471</v>
      </c>
      <c r="BM31" s="1" t="s">
        <v>28</v>
      </c>
      <c r="BW31" s="1" t="s">
        <v>2471</v>
      </c>
    </row>
    <row r="32" spans="2:84" x14ac:dyDescent="0.2">
      <c r="B32" s="1" t="s">
        <v>26</v>
      </c>
      <c r="N32" s="1" t="s">
        <v>26</v>
      </c>
      <c r="Y32" s="1" t="s">
        <v>2434</v>
      </c>
      <c r="AI32" s="1" t="s">
        <v>32</v>
      </c>
      <c r="AS32" s="1" t="s">
        <v>26</v>
      </c>
      <c r="BC32" s="1" t="s">
        <v>2472</v>
      </c>
      <c r="BM32" s="1" t="s">
        <v>29</v>
      </c>
      <c r="BW32" s="1" t="s">
        <v>2472</v>
      </c>
    </row>
    <row r="33" spans="2:75" x14ac:dyDescent="0.2">
      <c r="B33" s="1" t="s">
        <v>27</v>
      </c>
      <c r="N33" s="1" t="s">
        <v>27</v>
      </c>
      <c r="Y33" s="1" t="s">
        <v>2435</v>
      </c>
      <c r="AI33" s="1" t="s">
        <v>31</v>
      </c>
      <c r="AS33" s="1" t="s">
        <v>27</v>
      </c>
      <c r="BC33" s="1" t="s">
        <v>24</v>
      </c>
      <c r="BM33" s="1" t="s">
        <v>30</v>
      </c>
      <c r="BW33" s="1" t="s">
        <v>24</v>
      </c>
    </row>
    <row r="34" spans="2:75" x14ac:dyDescent="0.2">
      <c r="B34" s="1" t="s">
        <v>28</v>
      </c>
      <c r="N34" s="1" t="s">
        <v>28</v>
      </c>
      <c r="Y34" s="1" t="s">
        <v>29</v>
      </c>
      <c r="AI34" s="1" t="s">
        <v>29</v>
      </c>
      <c r="AS34" s="1" t="s">
        <v>28</v>
      </c>
      <c r="BC34" s="1" t="s">
        <v>32</v>
      </c>
      <c r="BM34" s="1" t="s">
        <v>31</v>
      </c>
      <c r="BW34" s="1" t="s">
        <v>32</v>
      </c>
    </row>
    <row r="35" spans="2:75" x14ac:dyDescent="0.2">
      <c r="B35" s="1" t="s">
        <v>29</v>
      </c>
      <c r="N35" s="1" t="s">
        <v>29</v>
      </c>
      <c r="Y35" s="1" t="s">
        <v>30</v>
      </c>
      <c r="AI35" s="1" t="s">
        <v>28</v>
      </c>
      <c r="AS35" s="1" t="s">
        <v>2434</v>
      </c>
      <c r="BC35" s="1" t="s">
        <v>31</v>
      </c>
      <c r="BM35" s="1" t="s">
        <v>32</v>
      </c>
      <c r="BW35" s="1" t="s">
        <v>31</v>
      </c>
    </row>
    <row r="36" spans="2:75" x14ac:dyDescent="0.2">
      <c r="B36" s="1" t="s">
        <v>30</v>
      </c>
      <c r="N36" s="1" t="s">
        <v>30</v>
      </c>
      <c r="AS36" s="1" t="s">
        <v>2435</v>
      </c>
      <c r="BC36" s="1" t="s">
        <v>29</v>
      </c>
      <c r="BM36" s="1" t="s">
        <v>2434</v>
      </c>
      <c r="BW36" s="1" t="s">
        <v>29</v>
      </c>
    </row>
    <row r="37" spans="2:75" x14ac:dyDescent="0.2">
      <c r="B37" s="1" t="s">
        <v>31</v>
      </c>
      <c r="N37" s="1" t="s">
        <v>31</v>
      </c>
      <c r="Y37" s="1" t="s">
        <v>143</v>
      </c>
      <c r="AI37" s="1" t="s">
        <v>36</v>
      </c>
      <c r="AS37" s="1" t="s">
        <v>29</v>
      </c>
      <c r="BC37" s="1" t="s">
        <v>28</v>
      </c>
      <c r="BM37" s="1" t="s">
        <v>2435</v>
      </c>
      <c r="BW37" s="1" t="s">
        <v>28</v>
      </c>
    </row>
    <row r="38" spans="2:75" x14ac:dyDescent="0.2">
      <c r="B38" s="1" t="s">
        <v>32</v>
      </c>
      <c r="N38" s="1" t="s">
        <v>32</v>
      </c>
      <c r="Y38" s="1" t="s">
        <v>41</v>
      </c>
      <c r="AI38" s="1" t="s">
        <v>35</v>
      </c>
      <c r="AS38" s="1" t="s">
        <v>30</v>
      </c>
    </row>
    <row r="39" spans="2:75" x14ac:dyDescent="0.2">
      <c r="Y39" s="1" t="s">
        <v>37</v>
      </c>
      <c r="AI39" s="1" t="s">
        <v>43</v>
      </c>
      <c r="BC39" s="2" t="s">
        <v>2849</v>
      </c>
      <c r="BM39" s="2" t="s">
        <v>2849</v>
      </c>
      <c r="BW39" s="2" t="s">
        <v>2849</v>
      </c>
    </row>
    <row r="40" spans="2:75" x14ac:dyDescent="0.2">
      <c r="B40" s="2" t="s">
        <v>33</v>
      </c>
      <c r="N40" s="2" t="s">
        <v>33</v>
      </c>
      <c r="Y40" s="1" t="s">
        <v>2436</v>
      </c>
      <c r="AI40" s="1" t="s">
        <v>34</v>
      </c>
      <c r="AS40" s="2" t="s">
        <v>2849</v>
      </c>
      <c r="BC40" s="1" t="s">
        <v>36</v>
      </c>
      <c r="BM40" s="1" t="s">
        <v>39</v>
      </c>
      <c r="BW40" s="1" t="s">
        <v>36</v>
      </c>
    </row>
    <row r="41" spans="2:75" x14ac:dyDescent="0.2">
      <c r="B41" s="1" t="s">
        <v>34</v>
      </c>
      <c r="N41" s="1" t="s">
        <v>36</v>
      </c>
      <c r="Y41" s="1" t="s">
        <v>2437</v>
      </c>
      <c r="AI41" s="1" t="s">
        <v>42</v>
      </c>
      <c r="AS41" s="1" t="s">
        <v>2436</v>
      </c>
      <c r="BC41" s="1" t="s">
        <v>35</v>
      </c>
      <c r="BM41" s="1" t="s">
        <v>2436</v>
      </c>
      <c r="BW41" s="1" t="s">
        <v>3034</v>
      </c>
    </row>
    <row r="42" spans="2:75" x14ac:dyDescent="0.2">
      <c r="B42" s="1" t="s">
        <v>35</v>
      </c>
      <c r="N42" s="1" t="s">
        <v>35</v>
      </c>
      <c r="Y42" s="1" t="s">
        <v>2438</v>
      </c>
      <c r="AI42" s="1" t="s">
        <v>144</v>
      </c>
      <c r="AS42" s="1" t="s">
        <v>2437</v>
      </c>
      <c r="BC42" s="1" t="s">
        <v>43</v>
      </c>
      <c r="BM42" s="1" t="s">
        <v>144</v>
      </c>
      <c r="BW42" s="1" t="s">
        <v>43</v>
      </c>
    </row>
    <row r="43" spans="2:75" x14ac:dyDescent="0.2">
      <c r="B43" s="1" t="s">
        <v>36</v>
      </c>
      <c r="N43" s="1" t="s">
        <v>38</v>
      </c>
      <c r="Y43" s="1" t="s">
        <v>144</v>
      </c>
      <c r="AI43" s="1" t="s">
        <v>39</v>
      </c>
      <c r="AS43" s="1" t="s">
        <v>2438</v>
      </c>
      <c r="BC43" s="1" t="s">
        <v>34</v>
      </c>
      <c r="BM43" s="1" t="s">
        <v>2438</v>
      </c>
      <c r="BW43" s="1" t="s">
        <v>34</v>
      </c>
    </row>
    <row r="44" spans="2:75" x14ac:dyDescent="0.2">
      <c r="B44" s="1" t="s">
        <v>37</v>
      </c>
      <c r="N44" s="1" t="s">
        <v>43</v>
      </c>
      <c r="Y44" s="1" t="s">
        <v>42</v>
      </c>
      <c r="AI44" s="1" t="s">
        <v>38</v>
      </c>
      <c r="AS44" s="1" t="s">
        <v>144</v>
      </c>
      <c r="BC44" s="1" t="s">
        <v>42</v>
      </c>
      <c r="BM44" s="1" t="s">
        <v>37</v>
      </c>
      <c r="BW44" s="1" t="s">
        <v>42</v>
      </c>
    </row>
    <row r="45" spans="2:75" x14ac:dyDescent="0.2">
      <c r="B45" s="1" t="s">
        <v>38</v>
      </c>
      <c r="N45" s="1" t="s">
        <v>143</v>
      </c>
      <c r="Y45" s="1" t="s">
        <v>39</v>
      </c>
      <c r="AI45" s="1" t="s">
        <v>40</v>
      </c>
      <c r="AS45" s="1" t="s">
        <v>42</v>
      </c>
      <c r="BC45" s="1" t="s">
        <v>144</v>
      </c>
      <c r="BM45" s="1" t="s">
        <v>143</v>
      </c>
      <c r="BW45" s="1" t="s">
        <v>144</v>
      </c>
    </row>
    <row r="46" spans="2:75" x14ac:dyDescent="0.2">
      <c r="B46" s="1" t="s">
        <v>39</v>
      </c>
      <c r="N46" s="1" t="s">
        <v>42</v>
      </c>
      <c r="Y46" s="1" t="s">
        <v>34</v>
      </c>
      <c r="AI46" s="1" t="s">
        <v>41</v>
      </c>
      <c r="AS46" s="1" t="s">
        <v>2850</v>
      </c>
      <c r="BC46" s="1" t="s">
        <v>39</v>
      </c>
      <c r="BM46" s="1" t="s">
        <v>2437</v>
      </c>
      <c r="BW46" s="1" t="s">
        <v>39</v>
      </c>
    </row>
    <row r="47" spans="2:75" x14ac:dyDescent="0.2">
      <c r="B47" s="1" t="s">
        <v>40</v>
      </c>
      <c r="N47" s="1" t="s">
        <v>144</v>
      </c>
      <c r="AS47" s="1" t="s">
        <v>41</v>
      </c>
      <c r="BC47" s="1" t="s">
        <v>38</v>
      </c>
      <c r="BM47" s="1" t="s">
        <v>34</v>
      </c>
      <c r="BW47" s="1" t="s">
        <v>38</v>
      </c>
    </row>
    <row r="48" spans="2:75" x14ac:dyDescent="0.2">
      <c r="B48" s="1" t="s">
        <v>41</v>
      </c>
      <c r="N48" s="1" t="s">
        <v>34</v>
      </c>
      <c r="Y48" s="1" t="s">
        <v>49</v>
      </c>
      <c r="AI48" s="1" t="s">
        <v>49</v>
      </c>
      <c r="AS48" s="1" t="s">
        <v>34</v>
      </c>
      <c r="BC48" s="1" t="s">
        <v>40</v>
      </c>
      <c r="BM48" s="1" t="s">
        <v>2850</v>
      </c>
      <c r="BW48" s="1" t="s">
        <v>40</v>
      </c>
    </row>
    <row r="49" spans="2:75" x14ac:dyDescent="0.2">
      <c r="B49" s="1" t="s">
        <v>42</v>
      </c>
      <c r="N49" s="1" t="s">
        <v>39</v>
      </c>
      <c r="Y49" s="1" t="s">
        <v>52</v>
      </c>
      <c r="AI49" s="1" t="s">
        <v>52</v>
      </c>
      <c r="AS49" s="1" t="s">
        <v>143</v>
      </c>
      <c r="BC49" s="1" t="s">
        <v>41</v>
      </c>
      <c r="BM49" s="1" t="s">
        <v>42</v>
      </c>
      <c r="BW49" s="1" t="s">
        <v>41</v>
      </c>
    </row>
    <row r="50" spans="2:75" x14ac:dyDescent="0.2">
      <c r="B50" s="1" t="s">
        <v>43</v>
      </c>
      <c r="N50" s="1" t="s">
        <v>40</v>
      </c>
      <c r="Y50" s="1" t="s">
        <v>2439</v>
      </c>
      <c r="AI50" s="1" t="s">
        <v>48</v>
      </c>
      <c r="AS50" s="1" t="s">
        <v>39</v>
      </c>
    </row>
    <row r="51" spans="2:75" x14ac:dyDescent="0.2">
      <c r="Y51" s="1" t="s">
        <v>45</v>
      </c>
      <c r="AI51" s="1" t="s">
        <v>47</v>
      </c>
      <c r="BC51" s="2" t="s">
        <v>2851</v>
      </c>
      <c r="BM51" s="2" t="s">
        <v>2851</v>
      </c>
      <c r="BW51" s="2" t="s">
        <v>2851</v>
      </c>
    </row>
    <row r="52" spans="2:75" x14ac:dyDescent="0.2">
      <c r="B52" s="2" t="s">
        <v>44</v>
      </c>
      <c r="N52" s="2" t="s">
        <v>44</v>
      </c>
      <c r="Y52" s="1" t="s">
        <v>50</v>
      </c>
      <c r="AI52" s="1" t="s">
        <v>51</v>
      </c>
      <c r="AS52" s="2" t="s">
        <v>2851</v>
      </c>
      <c r="BC52" s="1" t="s">
        <v>49</v>
      </c>
      <c r="BM52" s="1" t="s">
        <v>49</v>
      </c>
      <c r="BW52" s="1" t="s">
        <v>49</v>
      </c>
    </row>
    <row r="53" spans="2:75" x14ac:dyDescent="0.2">
      <c r="B53" s="1" t="s">
        <v>45</v>
      </c>
      <c r="N53" s="1" t="s">
        <v>48</v>
      </c>
      <c r="Y53" s="1" t="s">
        <v>2440</v>
      </c>
      <c r="AI53" s="1" t="s">
        <v>45</v>
      </c>
      <c r="AS53" s="1" t="s">
        <v>2440</v>
      </c>
      <c r="BC53" s="1" t="s">
        <v>52</v>
      </c>
      <c r="BM53" s="1" t="s">
        <v>2439</v>
      </c>
      <c r="BW53" s="1" t="s">
        <v>52</v>
      </c>
    </row>
    <row r="54" spans="2:75" x14ac:dyDescent="0.2">
      <c r="B54" s="1" t="s">
        <v>46</v>
      </c>
      <c r="N54" s="1" t="s">
        <v>51</v>
      </c>
      <c r="Y54" s="1" t="s">
        <v>48</v>
      </c>
      <c r="AI54" s="1" t="s">
        <v>50</v>
      </c>
      <c r="AS54" s="1" t="s">
        <v>2439</v>
      </c>
      <c r="BC54" s="1" t="s">
        <v>48</v>
      </c>
      <c r="BM54" s="1" t="s">
        <v>52</v>
      </c>
      <c r="BW54" s="1" t="s">
        <v>48</v>
      </c>
    </row>
    <row r="55" spans="2:75" x14ac:dyDescent="0.2">
      <c r="B55" s="1" t="s">
        <v>47</v>
      </c>
      <c r="N55" s="1" t="s">
        <v>45</v>
      </c>
      <c r="Y55" s="1" t="s">
        <v>47</v>
      </c>
      <c r="AI55" s="1" t="s">
        <v>46</v>
      </c>
      <c r="AS55" s="1" t="s">
        <v>50</v>
      </c>
      <c r="BC55" s="1" t="s">
        <v>47</v>
      </c>
      <c r="BM55" s="1" t="s">
        <v>2440</v>
      </c>
      <c r="BW55" s="1" t="s">
        <v>47</v>
      </c>
    </row>
    <row r="56" spans="2:75" x14ac:dyDescent="0.2">
      <c r="B56" s="1" t="s">
        <v>48</v>
      </c>
      <c r="N56" s="1" t="s">
        <v>50</v>
      </c>
      <c r="Y56" s="1" t="s">
        <v>145</v>
      </c>
      <c r="AI56" s="1" t="s">
        <v>2473</v>
      </c>
      <c r="AS56" s="1" t="s">
        <v>48</v>
      </c>
      <c r="BC56" s="1" t="s">
        <v>51</v>
      </c>
      <c r="BM56" s="1" t="s">
        <v>48</v>
      </c>
      <c r="BW56" s="1" t="s">
        <v>51</v>
      </c>
    </row>
    <row r="57" spans="2:75" x14ac:dyDescent="0.2">
      <c r="B57" s="1" t="s">
        <v>49</v>
      </c>
      <c r="N57" s="1" t="s">
        <v>46</v>
      </c>
      <c r="Y57" s="1" t="s">
        <v>2441</v>
      </c>
      <c r="AI57" s="1" t="s">
        <v>54</v>
      </c>
      <c r="AS57" s="1" t="s">
        <v>47</v>
      </c>
      <c r="BC57" s="1" t="s">
        <v>45</v>
      </c>
      <c r="BM57" s="1" t="s">
        <v>47</v>
      </c>
      <c r="BW57" s="1" t="s">
        <v>45</v>
      </c>
    </row>
    <row r="58" spans="2:75" x14ac:dyDescent="0.2">
      <c r="B58" s="1" t="s">
        <v>50</v>
      </c>
      <c r="N58" s="1" t="s">
        <v>49</v>
      </c>
      <c r="AS58" s="1" t="s">
        <v>145</v>
      </c>
      <c r="BC58" s="1" t="s">
        <v>50</v>
      </c>
      <c r="BM58" s="1" t="s">
        <v>145</v>
      </c>
      <c r="BW58" s="1" t="s">
        <v>50</v>
      </c>
    </row>
    <row r="59" spans="2:75" x14ac:dyDescent="0.2">
      <c r="B59" s="1" t="s">
        <v>51</v>
      </c>
      <c r="N59" s="1" t="s">
        <v>47</v>
      </c>
      <c r="Y59" s="1" t="s">
        <v>56</v>
      </c>
      <c r="AI59" s="1" t="s">
        <v>56</v>
      </c>
      <c r="AS59" s="1" t="s">
        <v>45</v>
      </c>
      <c r="BC59" s="1" t="s">
        <v>46</v>
      </c>
      <c r="BM59" s="1" t="s">
        <v>45</v>
      </c>
      <c r="BW59" s="1" t="s">
        <v>46</v>
      </c>
    </row>
    <row r="60" spans="2:75" x14ac:dyDescent="0.2">
      <c r="B60" s="1" t="s">
        <v>52</v>
      </c>
      <c r="N60" s="1" t="s">
        <v>52</v>
      </c>
      <c r="Y60" s="1" t="s">
        <v>62</v>
      </c>
      <c r="AI60" s="1" t="s">
        <v>65</v>
      </c>
      <c r="AS60" s="1" t="s">
        <v>49</v>
      </c>
      <c r="BC60" s="1" t="s">
        <v>2473</v>
      </c>
      <c r="BM60" s="1" t="s">
        <v>50</v>
      </c>
      <c r="BW60" s="1" t="s">
        <v>2473</v>
      </c>
    </row>
    <row r="61" spans="2:75" x14ac:dyDescent="0.2">
      <c r="B61" s="1" t="s">
        <v>53</v>
      </c>
      <c r="N61" s="1" t="s">
        <v>145</v>
      </c>
      <c r="Y61" s="1" t="s">
        <v>61</v>
      </c>
      <c r="AI61" s="1" t="s">
        <v>62</v>
      </c>
      <c r="AS61" s="1" t="s">
        <v>52</v>
      </c>
      <c r="BC61" s="1" t="s">
        <v>54</v>
      </c>
      <c r="BM61" s="1" t="s">
        <v>3025</v>
      </c>
      <c r="BW61" s="1" t="s">
        <v>54</v>
      </c>
    </row>
    <row r="62" spans="2:75" x14ac:dyDescent="0.2">
      <c r="B62" s="1" t="s">
        <v>54</v>
      </c>
      <c r="N62" s="1" t="s">
        <v>146</v>
      </c>
      <c r="Y62" s="1" t="s">
        <v>57</v>
      </c>
      <c r="AI62" s="1" t="s">
        <v>57</v>
      </c>
      <c r="AS62" s="1" t="s">
        <v>2852</v>
      </c>
    </row>
    <row r="63" spans="2:75" x14ac:dyDescent="0.2">
      <c r="Y63" s="1" t="s">
        <v>58</v>
      </c>
      <c r="AI63" s="1" t="s">
        <v>2474</v>
      </c>
      <c r="BC63" s="2" t="s">
        <v>2853</v>
      </c>
      <c r="BM63" s="2" t="s">
        <v>2853</v>
      </c>
      <c r="BW63" s="2" t="s">
        <v>2853</v>
      </c>
    </row>
    <row r="64" spans="2:75" x14ac:dyDescent="0.2">
      <c r="B64" s="2" t="s">
        <v>55</v>
      </c>
      <c r="N64" s="2" t="s">
        <v>55</v>
      </c>
      <c r="Y64" s="1" t="s">
        <v>59</v>
      </c>
      <c r="AI64" s="1" t="s">
        <v>61</v>
      </c>
      <c r="AS64" s="2" t="s">
        <v>2853</v>
      </c>
      <c r="BC64" s="1" t="s">
        <v>56</v>
      </c>
      <c r="BM64" s="1" t="s">
        <v>56</v>
      </c>
      <c r="BW64" s="1" t="s">
        <v>56</v>
      </c>
    </row>
    <row r="65" spans="2:75" x14ac:dyDescent="0.2">
      <c r="B65" s="1" t="s">
        <v>56</v>
      </c>
      <c r="N65" s="1" t="s">
        <v>56</v>
      </c>
      <c r="Y65" s="1" t="s">
        <v>60</v>
      </c>
      <c r="AI65" s="1" t="s">
        <v>64</v>
      </c>
      <c r="AS65" s="1" t="s">
        <v>56</v>
      </c>
      <c r="BC65" s="1" t="s">
        <v>65</v>
      </c>
      <c r="BM65" s="1" t="s">
        <v>62</v>
      </c>
      <c r="BW65" s="1" t="s">
        <v>65</v>
      </c>
    </row>
    <row r="66" spans="2:75" x14ac:dyDescent="0.2">
      <c r="B66" s="1" t="s">
        <v>57</v>
      </c>
      <c r="N66" s="1" t="s">
        <v>63</v>
      </c>
      <c r="Y66" s="1" t="s">
        <v>2442</v>
      </c>
      <c r="AI66" s="1" t="s">
        <v>2475</v>
      </c>
      <c r="AS66" s="1" t="s">
        <v>62</v>
      </c>
      <c r="BC66" s="1" t="s">
        <v>62</v>
      </c>
      <c r="BM66" s="1" t="s">
        <v>57</v>
      </c>
      <c r="BW66" s="1" t="s">
        <v>62</v>
      </c>
    </row>
    <row r="67" spans="2:75" x14ac:dyDescent="0.2">
      <c r="B67" s="1" t="s">
        <v>58</v>
      </c>
      <c r="N67" s="1" t="s">
        <v>58</v>
      </c>
      <c r="Y67" s="1" t="s">
        <v>2443</v>
      </c>
      <c r="AI67" s="1" t="s">
        <v>2476</v>
      </c>
      <c r="AS67" s="1" t="s">
        <v>57</v>
      </c>
      <c r="BC67" s="1" t="s">
        <v>57</v>
      </c>
      <c r="BM67" s="1" t="s">
        <v>61</v>
      </c>
      <c r="BW67" s="1" t="s">
        <v>57</v>
      </c>
    </row>
    <row r="68" spans="2:75" x14ac:dyDescent="0.2">
      <c r="B68" s="1" t="s">
        <v>59</v>
      </c>
      <c r="N68" s="1" t="s">
        <v>59</v>
      </c>
      <c r="Y68" s="1" t="s">
        <v>2444</v>
      </c>
      <c r="AI68" s="1" t="s">
        <v>58</v>
      </c>
      <c r="AS68" s="1" t="s">
        <v>61</v>
      </c>
      <c r="BC68" s="1" t="s">
        <v>2474</v>
      </c>
      <c r="BM68" s="1" t="s">
        <v>3026</v>
      </c>
      <c r="BW68" s="1" t="s">
        <v>2474</v>
      </c>
    </row>
    <row r="69" spans="2:75" x14ac:dyDescent="0.2">
      <c r="B69" s="1" t="s">
        <v>60</v>
      </c>
      <c r="N69" s="1" t="s">
        <v>64</v>
      </c>
      <c r="AS69" s="1" t="s">
        <v>64</v>
      </c>
      <c r="BC69" s="1" t="s">
        <v>61</v>
      </c>
      <c r="BM69" s="1" t="s">
        <v>2476</v>
      </c>
      <c r="BW69" s="1" t="s">
        <v>61</v>
      </c>
    </row>
    <row r="70" spans="2:75" x14ac:dyDescent="0.2">
      <c r="B70" s="1" t="s">
        <v>61</v>
      </c>
      <c r="N70" s="1" t="s">
        <v>60</v>
      </c>
      <c r="Y70" s="1" t="s">
        <v>2445</v>
      </c>
      <c r="AI70" s="1" t="s">
        <v>148</v>
      </c>
      <c r="AS70" s="1" t="s">
        <v>2854</v>
      </c>
      <c r="BC70" s="1" t="s">
        <v>64</v>
      </c>
      <c r="BM70" s="1" t="s">
        <v>2443</v>
      </c>
      <c r="BW70" s="1" t="s">
        <v>64</v>
      </c>
    </row>
    <row r="71" spans="2:75" x14ac:dyDescent="0.2">
      <c r="B71" s="1" t="s">
        <v>62</v>
      </c>
      <c r="N71" s="1" t="s">
        <v>61</v>
      </c>
      <c r="Y71" s="1" t="s">
        <v>72</v>
      </c>
      <c r="AI71" s="1" t="s">
        <v>150</v>
      </c>
      <c r="AS71" s="1" t="s">
        <v>2855</v>
      </c>
      <c r="BC71" s="1" t="s">
        <v>2475</v>
      </c>
      <c r="BM71" s="1" t="s">
        <v>2444</v>
      </c>
      <c r="BW71" s="1" t="s">
        <v>2475</v>
      </c>
    </row>
    <row r="72" spans="2:75" x14ac:dyDescent="0.2">
      <c r="B72" s="1" t="s">
        <v>63</v>
      </c>
      <c r="N72" s="1" t="s">
        <v>57</v>
      </c>
      <c r="Y72" s="1" t="s">
        <v>151</v>
      </c>
      <c r="AI72" s="1" t="s">
        <v>149</v>
      </c>
      <c r="AS72" s="1" t="s">
        <v>2856</v>
      </c>
      <c r="BC72" s="1" t="s">
        <v>2476</v>
      </c>
      <c r="BM72" s="1" t="s">
        <v>60</v>
      </c>
      <c r="BW72" s="1" t="s">
        <v>2476</v>
      </c>
    </row>
    <row r="73" spans="2:75" x14ac:dyDescent="0.2">
      <c r="B73" s="1" t="s">
        <v>64</v>
      </c>
      <c r="N73" s="1" t="s">
        <v>62</v>
      </c>
      <c r="Y73" s="1" t="s">
        <v>149</v>
      </c>
      <c r="AI73" s="1" t="s">
        <v>151</v>
      </c>
      <c r="AS73" s="1" t="s">
        <v>2443</v>
      </c>
      <c r="BC73" s="1" t="s">
        <v>58</v>
      </c>
      <c r="BM73" s="1" t="s">
        <v>3027</v>
      </c>
      <c r="BW73" s="1" t="s">
        <v>58</v>
      </c>
    </row>
    <row r="74" spans="2:75" x14ac:dyDescent="0.2">
      <c r="B74" s="1" t="s">
        <v>65</v>
      </c>
      <c r="N74" s="1" t="s">
        <v>147</v>
      </c>
      <c r="Y74" s="1" t="s">
        <v>75</v>
      </c>
      <c r="AI74" s="1" t="s">
        <v>152</v>
      </c>
      <c r="AS74" s="1" t="s">
        <v>60</v>
      </c>
    </row>
    <row r="75" spans="2:75" x14ac:dyDescent="0.2">
      <c r="Y75" s="1" t="s">
        <v>74</v>
      </c>
      <c r="AI75" s="1" t="s">
        <v>76</v>
      </c>
      <c r="BC75" s="2" t="s">
        <v>2857</v>
      </c>
      <c r="BM75" s="2" t="s">
        <v>2857</v>
      </c>
      <c r="BW75" s="2" t="s">
        <v>2857</v>
      </c>
    </row>
    <row r="76" spans="2:75" x14ac:dyDescent="0.2">
      <c r="B76" s="2" t="s">
        <v>66</v>
      </c>
      <c r="N76" s="2" t="s">
        <v>66</v>
      </c>
      <c r="Y76" s="1" t="s">
        <v>73</v>
      </c>
      <c r="AI76" s="1" t="s">
        <v>75</v>
      </c>
      <c r="AS76" s="2" t="s">
        <v>2857</v>
      </c>
      <c r="BC76" s="1" t="s">
        <v>148</v>
      </c>
      <c r="BM76" s="1" t="s">
        <v>2445</v>
      </c>
      <c r="BW76" s="1" t="s">
        <v>148</v>
      </c>
    </row>
    <row r="77" spans="2:75" x14ac:dyDescent="0.2">
      <c r="B77" s="1" t="s">
        <v>67</v>
      </c>
      <c r="N77" s="1" t="s">
        <v>68</v>
      </c>
      <c r="Y77" s="1" t="s">
        <v>2446</v>
      </c>
      <c r="AI77" s="1" t="s">
        <v>69</v>
      </c>
      <c r="AS77" s="1" t="s">
        <v>2445</v>
      </c>
      <c r="BC77" s="1" t="s">
        <v>150</v>
      </c>
      <c r="BM77" s="1" t="s">
        <v>72</v>
      </c>
      <c r="BW77" s="1" t="s">
        <v>150</v>
      </c>
    </row>
    <row r="78" spans="2:75" x14ac:dyDescent="0.2">
      <c r="B78" s="1" t="s">
        <v>68</v>
      </c>
      <c r="N78" s="1" t="s">
        <v>148</v>
      </c>
      <c r="Y78" s="1" t="s">
        <v>68</v>
      </c>
      <c r="AI78" s="1" t="s">
        <v>70</v>
      </c>
      <c r="AS78" s="1" t="s">
        <v>72</v>
      </c>
      <c r="BC78" s="1" t="s">
        <v>149</v>
      </c>
      <c r="BM78" s="1" t="s">
        <v>70</v>
      </c>
      <c r="BW78" s="1" t="s">
        <v>149</v>
      </c>
    </row>
    <row r="79" spans="2:75" x14ac:dyDescent="0.2">
      <c r="B79" s="1" t="s">
        <v>69</v>
      </c>
      <c r="N79" s="1" t="s">
        <v>149</v>
      </c>
      <c r="Y79" s="1" t="s">
        <v>2447</v>
      </c>
      <c r="AI79" s="1" t="s">
        <v>74</v>
      </c>
      <c r="AS79" s="1" t="s">
        <v>70</v>
      </c>
      <c r="BC79" s="1" t="s">
        <v>151</v>
      </c>
      <c r="BM79" s="1" t="s">
        <v>69</v>
      </c>
      <c r="BW79" s="1" t="s">
        <v>151</v>
      </c>
    </row>
    <row r="80" spans="2:75" x14ac:dyDescent="0.2">
      <c r="B80" s="1" t="s">
        <v>70</v>
      </c>
      <c r="N80" s="1" t="s">
        <v>150</v>
      </c>
      <c r="AS80" s="1" t="s">
        <v>75</v>
      </c>
      <c r="BC80" s="1" t="s">
        <v>152</v>
      </c>
      <c r="BM80" s="1" t="s">
        <v>2858</v>
      </c>
      <c r="BW80" s="1" t="s">
        <v>152</v>
      </c>
    </row>
    <row r="81" spans="2:75" x14ac:dyDescent="0.2">
      <c r="B81" s="1" t="s">
        <v>71</v>
      </c>
      <c r="N81" s="1" t="s">
        <v>151</v>
      </c>
      <c r="Y81" s="1" t="s">
        <v>153</v>
      </c>
      <c r="AI81" s="1" t="s">
        <v>2477</v>
      </c>
      <c r="AS81" s="1" t="s">
        <v>2858</v>
      </c>
      <c r="BC81" s="1" t="s">
        <v>76</v>
      </c>
      <c r="BM81" s="1" t="s">
        <v>2859</v>
      </c>
      <c r="BW81" s="1" t="s">
        <v>76</v>
      </c>
    </row>
    <row r="82" spans="2:75" x14ac:dyDescent="0.2">
      <c r="B82" s="1" t="s">
        <v>72</v>
      </c>
      <c r="N82" s="1" t="s">
        <v>152</v>
      </c>
      <c r="Y82" s="1" t="s">
        <v>2448</v>
      </c>
      <c r="AI82" s="1" t="s">
        <v>2478</v>
      </c>
      <c r="AS82" s="1" t="s">
        <v>2859</v>
      </c>
      <c r="BC82" s="1" t="s">
        <v>75</v>
      </c>
      <c r="BM82" s="1" t="s">
        <v>71</v>
      </c>
      <c r="BW82" s="1" t="s">
        <v>75</v>
      </c>
    </row>
    <row r="83" spans="2:75" x14ac:dyDescent="0.2">
      <c r="B83" s="1" t="s">
        <v>73</v>
      </c>
      <c r="N83" s="1" t="s">
        <v>76</v>
      </c>
      <c r="Y83" s="1" t="s">
        <v>84</v>
      </c>
      <c r="AI83" s="1" t="s">
        <v>85</v>
      </c>
      <c r="AS83" s="1" t="s">
        <v>71</v>
      </c>
      <c r="BC83" s="1" t="s">
        <v>69</v>
      </c>
      <c r="BM83" s="1" t="s">
        <v>150</v>
      </c>
      <c r="BW83" s="1" t="s">
        <v>69</v>
      </c>
    </row>
    <row r="84" spans="2:75" x14ac:dyDescent="0.2">
      <c r="B84" s="1" t="s">
        <v>74</v>
      </c>
      <c r="N84" s="1" t="s">
        <v>69</v>
      </c>
      <c r="Y84" s="1" t="s">
        <v>2449</v>
      </c>
      <c r="AI84" s="1" t="s">
        <v>79</v>
      </c>
      <c r="AS84" s="1" t="s">
        <v>2447</v>
      </c>
      <c r="BC84" s="1" t="s">
        <v>70</v>
      </c>
      <c r="BM84" s="1" t="s">
        <v>148</v>
      </c>
      <c r="BW84" s="1" t="s">
        <v>70</v>
      </c>
    </row>
    <row r="85" spans="2:75" x14ac:dyDescent="0.2">
      <c r="B85" s="1" t="s">
        <v>75</v>
      </c>
      <c r="N85" s="1" t="s">
        <v>70</v>
      </c>
      <c r="Y85" s="1" t="s">
        <v>79</v>
      </c>
      <c r="AI85" s="1" t="s">
        <v>86</v>
      </c>
      <c r="AS85" s="1" t="s">
        <v>150</v>
      </c>
      <c r="BC85" s="1" t="s">
        <v>74</v>
      </c>
      <c r="BM85" s="1" t="s">
        <v>68</v>
      </c>
      <c r="BW85" s="1" t="s">
        <v>74</v>
      </c>
    </row>
    <row r="86" spans="2:75" x14ac:dyDescent="0.2">
      <c r="B86" s="1" t="s">
        <v>76</v>
      </c>
      <c r="N86" s="1" t="s">
        <v>75</v>
      </c>
      <c r="Y86" s="1" t="s">
        <v>2450</v>
      </c>
      <c r="AI86" s="1" t="s">
        <v>2479</v>
      </c>
      <c r="AS86" s="1" t="s">
        <v>2446</v>
      </c>
    </row>
    <row r="87" spans="2:75" x14ac:dyDescent="0.2">
      <c r="Y87" s="1" t="s">
        <v>83</v>
      </c>
      <c r="AI87" s="1" t="s">
        <v>2451</v>
      </c>
      <c r="BC87" s="2" t="s">
        <v>2860</v>
      </c>
      <c r="BM87" s="2" t="s">
        <v>2860</v>
      </c>
      <c r="BW87" s="2" t="s">
        <v>2860</v>
      </c>
    </row>
    <row r="88" spans="2:75" x14ac:dyDescent="0.2">
      <c r="B88" s="2" t="s">
        <v>77</v>
      </c>
      <c r="N88" s="2" t="s">
        <v>77</v>
      </c>
      <c r="Y88" s="1" t="s">
        <v>2451</v>
      </c>
      <c r="AI88" s="1" t="s">
        <v>2450</v>
      </c>
      <c r="AS88" s="2" t="s">
        <v>2860</v>
      </c>
      <c r="BC88" s="1" t="s">
        <v>2477</v>
      </c>
      <c r="BM88" s="1" t="s">
        <v>2861</v>
      </c>
      <c r="BW88" s="1" t="s">
        <v>2477</v>
      </c>
    </row>
    <row r="89" spans="2:75" x14ac:dyDescent="0.2">
      <c r="B89" s="1" t="s">
        <v>78</v>
      </c>
      <c r="N89" s="1" t="s">
        <v>87</v>
      </c>
      <c r="Y89" s="1" t="s">
        <v>2582</v>
      </c>
      <c r="AI89" s="1" t="s">
        <v>2480</v>
      </c>
      <c r="AS89" s="1" t="s">
        <v>84</v>
      </c>
      <c r="BC89" s="1" t="s">
        <v>2478</v>
      </c>
      <c r="BM89" s="1" t="s">
        <v>2449</v>
      </c>
      <c r="BW89" s="1" t="s">
        <v>2478</v>
      </c>
    </row>
    <row r="90" spans="2:75" x14ac:dyDescent="0.2">
      <c r="B90" s="1" t="s">
        <v>79</v>
      </c>
      <c r="N90" s="1" t="s">
        <v>79</v>
      </c>
      <c r="Y90" s="1" t="s">
        <v>2452</v>
      </c>
      <c r="AI90" s="1" t="s">
        <v>2481</v>
      </c>
      <c r="AS90" s="1" t="s">
        <v>79</v>
      </c>
      <c r="BC90" s="1" t="s">
        <v>85</v>
      </c>
      <c r="BM90" s="1" t="s">
        <v>79</v>
      </c>
      <c r="BW90" s="1" t="s">
        <v>85</v>
      </c>
    </row>
    <row r="91" spans="2:75" x14ac:dyDescent="0.2">
      <c r="B91" s="1" t="s">
        <v>80</v>
      </c>
      <c r="N91" s="1" t="s">
        <v>80</v>
      </c>
      <c r="AS91" s="1" t="s">
        <v>82</v>
      </c>
      <c r="BC91" s="1" t="s">
        <v>79</v>
      </c>
      <c r="BM91" s="1" t="s">
        <v>82</v>
      </c>
      <c r="BW91" s="1" t="s">
        <v>79</v>
      </c>
    </row>
    <row r="92" spans="2:75" x14ac:dyDescent="0.2">
      <c r="B92" s="1" t="s">
        <v>81</v>
      </c>
      <c r="N92" s="1" t="s">
        <v>81</v>
      </c>
      <c r="Y92" s="1" t="s">
        <v>90</v>
      </c>
      <c r="AI92" s="1" t="s">
        <v>92</v>
      </c>
      <c r="AS92" s="1" t="s">
        <v>2451</v>
      </c>
      <c r="BC92" s="1" t="s">
        <v>86</v>
      </c>
      <c r="BM92" s="1" t="s">
        <v>83</v>
      </c>
      <c r="BW92" s="1" t="s">
        <v>86</v>
      </c>
    </row>
    <row r="93" spans="2:75" x14ac:dyDescent="0.2">
      <c r="B93" s="1" t="s">
        <v>82</v>
      </c>
      <c r="N93" s="1" t="s">
        <v>82</v>
      </c>
      <c r="Y93" s="1" t="s">
        <v>95</v>
      </c>
      <c r="AI93" s="1" t="s">
        <v>95</v>
      </c>
      <c r="AS93" s="1" t="s">
        <v>2582</v>
      </c>
      <c r="BC93" s="1" t="s">
        <v>2479</v>
      </c>
      <c r="BM93" s="1" t="s">
        <v>3028</v>
      </c>
      <c r="BW93" s="1" t="s">
        <v>2479</v>
      </c>
    </row>
    <row r="94" spans="2:75" x14ac:dyDescent="0.2">
      <c r="B94" s="1" t="s">
        <v>83</v>
      </c>
      <c r="N94" s="1" t="s">
        <v>78</v>
      </c>
      <c r="Y94" s="1" t="s">
        <v>91</v>
      </c>
      <c r="AI94" s="1" t="s">
        <v>91</v>
      </c>
      <c r="AS94" s="1" t="s">
        <v>2450</v>
      </c>
      <c r="BC94" s="1" t="s">
        <v>2451</v>
      </c>
      <c r="BM94" s="1" t="s">
        <v>2862</v>
      </c>
      <c r="BW94" s="1" t="s">
        <v>2451</v>
      </c>
    </row>
    <row r="95" spans="2:75" x14ac:dyDescent="0.2">
      <c r="B95" s="1" t="s">
        <v>84</v>
      </c>
      <c r="N95" s="1" t="s">
        <v>84</v>
      </c>
      <c r="Y95" s="1" t="s">
        <v>93</v>
      </c>
      <c r="AI95" s="1" t="s">
        <v>94</v>
      </c>
      <c r="AS95" s="1" t="s">
        <v>2861</v>
      </c>
      <c r="BC95" s="1" t="s">
        <v>2450</v>
      </c>
      <c r="BM95" s="1" t="s">
        <v>2451</v>
      </c>
      <c r="BW95" s="1" t="s">
        <v>2450</v>
      </c>
    </row>
    <row r="96" spans="2:75" x14ac:dyDescent="0.2">
      <c r="B96" s="1" t="s">
        <v>85</v>
      </c>
      <c r="N96" s="1" t="s">
        <v>85</v>
      </c>
      <c r="Y96" s="1" t="s">
        <v>2453</v>
      </c>
      <c r="AI96" s="1" t="s">
        <v>93</v>
      </c>
      <c r="AS96" s="1" t="s">
        <v>2862</v>
      </c>
      <c r="BC96" s="1" t="s">
        <v>2480</v>
      </c>
      <c r="BM96" s="1" t="s">
        <v>2582</v>
      </c>
      <c r="BW96" s="1" t="s">
        <v>2480</v>
      </c>
    </row>
    <row r="97" spans="2:75" x14ac:dyDescent="0.2">
      <c r="B97" s="1" t="s">
        <v>86</v>
      </c>
      <c r="N97" s="1" t="s">
        <v>86</v>
      </c>
      <c r="Y97" s="1" t="s">
        <v>94</v>
      </c>
      <c r="AI97" s="1" t="s">
        <v>154</v>
      </c>
      <c r="AS97" s="1" t="s">
        <v>153</v>
      </c>
      <c r="BC97" s="1" t="s">
        <v>2481</v>
      </c>
      <c r="BM97" s="1" t="s">
        <v>84</v>
      </c>
      <c r="BW97" s="1" t="s">
        <v>2481</v>
      </c>
    </row>
    <row r="98" spans="2:75" x14ac:dyDescent="0.2">
      <c r="B98" s="1" t="s">
        <v>87</v>
      </c>
      <c r="N98" s="1" t="s">
        <v>153</v>
      </c>
      <c r="Y98" s="1" t="s">
        <v>92</v>
      </c>
      <c r="AI98" s="1" t="s">
        <v>90</v>
      </c>
      <c r="AS98" s="1" t="s">
        <v>2449</v>
      </c>
    </row>
    <row r="99" spans="2:75" x14ac:dyDescent="0.2">
      <c r="Y99" s="1" t="s">
        <v>89</v>
      </c>
      <c r="AI99" s="1" t="s">
        <v>97</v>
      </c>
      <c r="BC99" s="2" t="s">
        <v>2863</v>
      </c>
      <c r="BM99" s="2" t="s">
        <v>2863</v>
      </c>
      <c r="BW99" s="2" t="s">
        <v>2863</v>
      </c>
    </row>
    <row r="100" spans="2:75" x14ac:dyDescent="0.2">
      <c r="B100" s="2" t="s">
        <v>88</v>
      </c>
      <c r="N100" s="2" t="s">
        <v>88</v>
      </c>
      <c r="Y100" s="1" t="s">
        <v>97</v>
      </c>
      <c r="AI100" s="1" t="s">
        <v>156</v>
      </c>
      <c r="AS100" s="2" t="s">
        <v>2863</v>
      </c>
      <c r="BC100" s="1" t="s">
        <v>92</v>
      </c>
      <c r="BM100" s="1" t="s">
        <v>154</v>
      </c>
      <c r="BW100" s="1" t="s">
        <v>92</v>
      </c>
    </row>
    <row r="101" spans="2:75" x14ac:dyDescent="0.2">
      <c r="B101" s="1" t="s">
        <v>89</v>
      </c>
      <c r="N101" s="1" t="s">
        <v>154</v>
      </c>
      <c r="Y101" s="1" t="s">
        <v>96</v>
      </c>
      <c r="AI101" s="1" t="s">
        <v>157</v>
      </c>
      <c r="AS101" s="1" t="s">
        <v>93</v>
      </c>
      <c r="BC101" s="1" t="s">
        <v>95</v>
      </c>
      <c r="BM101" s="1" t="s">
        <v>2453</v>
      </c>
      <c r="BW101" s="1" t="s">
        <v>95</v>
      </c>
    </row>
    <row r="102" spans="2:75" x14ac:dyDescent="0.2">
      <c r="B102" s="1" t="s">
        <v>90</v>
      </c>
      <c r="N102" s="1" t="s">
        <v>91</v>
      </c>
      <c r="AS102" s="1" t="s">
        <v>95</v>
      </c>
      <c r="BC102" s="1" t="s">
        <v>91</v>
      </c>
      <c r="BM102" s="1" t="s">
        <v>93</v>
      </c>
      <c r="BW102" s="1" t="s">
        <v>91</v>
      </c>
    </row>
    <row r="103" spans="2:75" x14ac:dyDescent="0.2">
      <c r="B103" s="1" t="s">
        <v>91</v>
      </c>
      <c r="N103" s="1" t="s">
        <v>90</v>
      </c>
      <c r="Y103" s="1" t="s">
        <v>2454</v>
      </c>
      <c r="AI103" s="1" t="s">
        <v>105</v>
      </c>
      <c r="AS103" s="1" t="s">
        <v>91</v>
      </c>
      <c r="BC103" s="1" t="s">
        <v>94</v>
      </c>
      <c r="BM103" s="1" t="s">
        <v>91</v>
      </c>
      <c r="BW103" s="1" t="s">
        <v>94</v>
      </c>
    </row>
    <row r="104" spans="2:75" x14ac:dyDescent="0.2">
      <c r="B104" s="1" t="s">
        <v>92</v>
      </c>
      <c r="N104" s="1" t="s">
        <v>93</v>
      </c>
      <c r="Y104" s="1" t="s">
        <v>2455</v>
      </c>
      <c r="AI104" s="1" t="s">
        <v>100</v>
      </c>
      <c r="AS104" s="1" t="s">
        <v>2453</v>
      </c>
      <c r="BC104" s="1" t="s">
        <v>93</v>
      </c>
      <c r="BM104" s="1" t="s">
        <v>95</v>
      </c>
      <c r="BW104" s="1" t="s">
        <v>93</v>
      </c>
    </row>
    <row r="105" spans="2:75" x14ac:dyDescent="0.2">
      <c r="B105" s="1" t="s">
        <v>93</v>
      </c>
      <c r="N105" s="1" t="s">
        <v>94</v>
      </c>
      <c r="Y105" s="1" t="s">
        <v>2456</v>
      </c>
      <c r="AI105" s="1" t="s">
        <v>102</v>
      </c>
      <c r="AS105" s="1" t="s">
        <v>94</v>
      </c>
      <c r="BC105" s="1" t="s">
        <v>154</v>
      </c>
      <c r="BM105" s="1" t="s">
        <v>94</v>
      </c>
      <c r="BW105" s="1" t="s">
        <v>154</v>
      </c>
    </row>
    <row r="106" spans="2:75" x14ac:dyDescent="0.2">
      <c r="B106" s="1" t="s">
        <v>94</v>
      </c>
      <c r="N106" s="1" t="s">
        <v>92</v>
      </c>
      <c r="Y106" s="1" t="s">
        <v>101</v>
      </c>
      <c r="AI106" s="1" t="s">
        <v>106</v>
      </c>
      <c r="AS106" s="1" t="s">
        <v>90</v>
      </c>
      <c r="BC106" s="1" t="s">
        <v>90</v>
      </c>
      <c r="BM106" s="1" t="s">
        <v>92</v>
      </c>
      <c r="BW106" s="1" t="s">
        <v>90</v>
      </c>
    </row>
    <row r="107" spans="2:75" x14ac:dyDescent="0.2">
      <c r="B107" s="1" t="s">
        <v>95</v>
      </c>
      <c r="N107" s="1" t="s">
        <v>95</v>
      </c>
      <c r="Y107" s="1" t="s">
        <v>103</v>
      </c>
      <c r="AI107" s="1" t="s">
        <v>107</v>
      </c>
      <c r="AS107" s="1" t="s">
        <v>154</v>
      </c>
      <c r="BC107" s="1" t="s">
        <v>97</v>
      </c>
      <c r="BM107" s="1" t="s">
        <v>90</v>
      </c>
      <c r="BW107" s="1" t="s">
        <v>97</v>
      </c>
    </row>
    <row r="108" spans="2:75" x14ac:dyDescent="0.2">
      <c r="B108" s="1" t="s">
        <v>96</v>
      </c>
      <c r="N108" s="1" t="s">
        <v>155</v>
      </c>
      <c r="Y108" s="1" t="s">
        <v>2457</v>
      </c>
      <c r="AI108" s="1" t="s">
        <v>2482</v>
      </c>
      <c r="AS108" s="1" t="s">
        <v>92</v>
      </c>
      <c r="BC108" s="1" t="s">
        <v>156</v>
      </c>
      <c r="BM108" s="1" t="s">
        <v>3029</v>
      </c>
      <c r="BW108" s="1" t="s">
        <v>156</v>
      </c>
    </row>
    <row r="109" spans="2:75" x14ac:dyDescent="0.2">
      <c r="B109" s="1" t="s">
        <v>97</v>
      </c>
      <c r="N109" s="1" t="s">
        <v>156</v>
      </c>
      <c r="Y109" s="1" t="s">
        <v>107</v>
      </c>
      <c r="AI109" s="1" t="s">
        <v>101</v>
      </c>
      <c r="AS109" s="1" t="s">
        <v>155</v>
      </c>
      <c r="BC109" s="1" t="s">
        <v>157</v>
      </c>
      <c r="BM109" s="1" t="s">
        <v>3030</v>
      </c>
      <c r="BW109" s="1" t="s">
        <v>157</v>
      </c>
    </row>
    <row r="110" spans="2:75" x14ac:dyDescent="0.2">
      <c r="B110" s="1" t="s">
        <v>98</v>
      </c>
      <c r="N110" s="1" t="s">
        <v>157</v>
      </c>
      <c r="Y110" s="1" t="s">
        <v>100</v>
      </c>
      <c r="AI110" s="1" t="s">
        <v>103</v>
      </c>
      <c r="AS110" s="1" t="s">
        <v>2864</v>
      </c>
    </row>
    <row r="111" spans="2:75" x14ac:dyDescent="0.2">
      <c r="Y111" s="1" t="s">
        <v>108</v>
      </c>
      <c r="AI111" s="1" t="s">
        <v>108</v>
      </c>
      <c r="BC111" s="2" t="s">
        <v>2865</v>
      </c>
      <c r="BM111" s="2" t="s">
        <v>2865</v>
      </c>
      <c r="BW111" s="2" t="s">
        <v>2865</v>
      </c>
    </row>
    <row r="112" spans="2:75" x14ac:dyDescent="0.2">
      <c r="B112" s="2" t="s">
        <v>99</v>
      </c>
      <c r="N112" s="2" t="s">
        <v>99</v>
      </c>
      <c r="Y112" s="1" t="s">
        <v>102</v>
      </c>
      <c r="AI112" s="1" t="s">
        <v>109</v>
      </c>
      <c r="AS112" s="2" t="s">
        <v>2865</v>
      </c>
      <c r="BC112" s="1" t="s">
        <v>105</v>
      </c>
      <c r="BM112" s="1" t="s">
        <v>2454</v>
      </c>
      <c r="BW112" s="1" t="s">
        <v>105</v>
      </c>
    </row>
    <row r="113" spans="2:75" x14ac:dyDescent="0.2">
      <c r="B113" s="1" t="s">
        <v>100</v>
      </c>
      <c r="N113" s="1" t="s">
        <v>100</v>
      </c>
      <c r="AS113" s="1" t="s">
        <v>2454</v>
      </c>
      <c r="BC113" s="1" t="s">
        <v>100</v>
      </c>
      <c r="BM113" s="1" t="s">
        <v>2455</v>
      </c>
      <c r="BW113" s="1" t="s">
        <v>100</v>
      </c>
    </row>
    <row r="114" spans="2:75" x14ac:dyDescent="0.2">
      <c r="B114" s="1" t="s">
        <v>101</v>
      </c>
      <c r="N114" s="1" t="s">
        <v>103</v>
      </c>
      <c r="Y114" s="1" t="s">
        <v>111</v>
      </c>
      <c r="AI114" s="1" t="s">
        <v>111</v>
      </c>
      <c r="AS114" s="1" t="s">
        <v>2455</v>
      </c>
      <c r="BC114" s="1" t="s">
        <v>102</v>
      </c>
      <c r="BM114" s="1" t="s">
        <v>2456</v>
      </c>
      <c r="BW114" s="1" t="s">
        <v>102</v>
      </c>
    </row>
    <row r="115" spans="2:75" x14ac:dyDescent="0.2">
      <c r="B115" s="1" t="s">
        <v>102</v>
      </c>
      <c r="N115" s="1" t="s">
        <v>107</v>
      </c>
      <c r="Y115" s="1" t="s">
        <v>114</v>
      </c>
      <c r="AI115" s="1" t="s">
        <v>2483</v>
      </c>
      <c r="AS115" s="1" t="s">
        <v>2456</v>
      </c>
      <c r="BC115" s="1" t="s">
        <v>106</v>
      </c>
      <c r="BM115" s="1" t="s">
        <v>101</v>
      </c>
      <c r="BW115" s="1" t="s">
        <v>106</v>
      </c>
    </row>
    <row r="116" spans="2:75" x14ac:dyDescent="0.2">
      <c r="B116" s="1" t="s">
        <v>103</v>
      </c>
      <c r="N116" s="1" t="s">
        <v>106</v>
      </c>
      <c r="Y116" s="1" t="s">
        <v>158</v>
      </c>
      <c r="AI116" s="1" t="s">
        <v>2484</v>
      </c>
      <c r="AS116" s="1" t="s">
        <v>101</v>
      </c>
      <c r="BC116" s="1" t="s">
        <v>107</v>
      </c>
      <c r="BM116" s="1" t="s">
        <v>103</v>
      </c>
      <c r="BW116" s="1" t="s">
        <v>107</v>
      </c>
    </row>
    <row r="117" spans="2:75" x14ac:dyDescent="0.2">
      <c r="B117" s="1" t="s">
        <v>104</v>
      </c>
      <c r="N117" s="1" t="s">
        <v>105</v>
      </c>
      <c r="Y117" s="1" t="s">
        <v>2459</v>
      </c>
      <c r="AI117" s="1" t="s">
        <v>114</v>
      </c>
      <c r="AS117" s="1" t="s">
        <v>103</v>
      </c>
      <c r="BC117" s="1" t="s">
        <v>2482</v>
      </c>
      <c r="BM117" s="1" t="s">
        <v>2457</v>
      </c>
      <c r="BW117" s="1" t="s">
        <v>2482</v>
      </c>
    </row>
    <row r="118" spans="2:75" x14ac:dyDescent="0.2">
      <c r="B118" s="1" t="s">
        <v>105</v>
      </c>
      <c r="N118" s="1" t="s">
        <v>108</v>
      </c>
      <c r="Y118" s="1" t="s">
        <v>113</v>
      </c>
      <c r="AI118" s="1" t="s">
        <v>160</v>
      </c>
      <c r="AS118" s="1" t="s">
        <v>2457</v>
      </c>
      <c r="BC118" s="1" t="s">
        <v>101</v>
      </c>
      <c r="BM118" s="1" t="s">
        <v>107</v>
      </c>
      <c r="BW118" s="1" t="s">
        <v>101</v>
      </c>
    </row>
    <row r="119" spans="2:75" x14ac:dyDescent="0.2">
      <c r="B119" s="1" t="s">
        <v>106</v>
      </c>
      <c r="N119" s="1" t="s">
        <v>109</v>
      </c>
      <c r="Y119" s="1" t="s">
        <v>159</v>
      </c>
      <c r="AI119" s="1" t="s">
        <v>113</v>
      </c>
      <c r="AS119" s="1" t="s">
        <v>107</v>
      </c>
      <c r="BC119" s="1" t="s">
        <v>103</v>
      </c>
      <c r="BM119" s="1" t="s">
        <v>100</v>
      </c>
      <c r="BW119" s="1" t="s">
        <v>103</v>
      </c>
    </row>
    <row r="120" spans="2:75" x14ac:dyDescent="0.2">
      <c r="B120" s="1" t="s">
        <v>107</v>
      </c>
      <c r="N120" s="1" t="s">
        <v>104</v>
      </c>
      <c r="Y120" s="1" t="s">
        <v>2460</v>
      </c>
      <c r="AI120" s="1" t="s">
        <v>162</v>
      </c>
      <c r="AS120" s="1" t="s">
        <v>100</v>
      </c>
      <c r="BC120" s="1" t="s">
        <v>108</v>
      </c>
      <c r="BM120" s="1" t="s">
        <v>2458</v>
      </c>
      <c r="BW120" s="1" t="s">
        <v>108</v>
      </c>
    </row>
    <row r="121" spans="2:75" x14ac:dyDescent="0.2">
      <c r="B121" s="1" t="s">
        <v>108</v>
      </c>
      <c r="N121" s="1" t="s">
        <v>101</v>
      </c>
      <c r="Y121" s="1" t="s">
        <v>160</v>
      </c>
      <c r="AI121" s="1" t="s">
        <v>2485</v>
      </c>
      <c r="AS121" s="1" t="s">
        <v>2458</v>
      </c>
      <c r="BC121" s="1" t="s">
        <v>109</v>
      </c>
      <c r="BM121" s="1" t="s">
        <v>102</v>
      </c>
      <c r="BW121" s="1" t="s">
        <v>109</v>
      </c>
    </row>
    <row r="122" spans="2:75" x14ac:dyDescent="0.2">
      <c r="B122" s="1" t="s">
        <v>109</v>
      </c>
      <c r="N122" s="1" t="s">
        <v>102</v>
      </c>
      <c r="Y122" s="1" t="s">
        <v>2461</v>
      </c>
      <c r="AI122" s="1" t="s">
        <v>120</v>
      </c>
      <c r="AS122" s="1" t="s">
        <v>102</v>
      </c>
    </row>
    <row r="123" spans="2:75" x14ac:dyDescent="0.2">
      <c r="Y123" s="1" t="s">
        <v>2462</v>
      </c>
      <c r="AI123" s="1" t="s">
        <v>2462</v>
      </c>
      <c r="BC123" s="2" t="s">
        <v>2866</v>
      </c>
      <c r="BM123" s="2" t="s">
        <v>2866</v>
      </c>
      <c r="BW123" s="2" t="s">
        <v>2866</v>
      </c>
    </row>
    <row r="124" spans="2:75" x14ac:dyDescent="0.2">
      <c r="B124" s="2" t="s">
        <v>110</v>
      </c>
      <c r="N124" s="2" t="s">
        <v>110</v>
      </c>
      <c r="AS124" s="2" t="s">
        <v>2866</v>
      </c>
      <c r="BC124" s="1" t="s">
        <v>111</v>
      </c>
      <c r="BM124" s="1" t="s">
        <v>111</v>
      </c>
      <c r="BW124" s="1" t="s">
        <v>111</v>
      </c>
    </row>
    <row r="125" spans="2:75" x14ac:dyDescent="0.2">
      <c r="B125" s="1" t="s">
        <v>111</v>
      </c>
      <c r="N125" s="1" t="s">
        <v>111</v>
      </c>
      <c r="Y125" s="1" t="s">
        <v>122</v>
      </c>
      <c r="AI125" s="1" t="s">
        <v>123</v>
      </c>
      <c r="AS125" s="1" t="s">
        <v>111</v>
      </c>
      <c r="BC125" s="1" t="s">
        <v>2483</v>
      </c>
      <c r="BM125" s="1" t="s">
        <v>2459</v>
      </c>
      <c r="BW125" s="1" t="s">
        <v>2483</v>
      </c>
    </row>
    <row r="126" spans="2:75" x14ac:dyDescent="0.2">
      <c r="B126" s="1" t="s">
        <v>112</v>
      </c>
      <c r="N126" s="1" t="s">
        <v>112</v>
      </c>
      <c r="Y126" s="1" t="s">
        <v>125</v>
      </c>
      <c r="AI126" s="1" t="s">
        <v>124</v>
      </c>
      <c r="AS126" s="1" t="s">
        <v>158</v>
      </c>
      <c r="BC126" s="1" t="s">
        <v>2484</v>
      </c>
      <c r="BM126" s="1" t="s">
        <v>158</v>
      </c>
      <c r="BW126" s="1" t="s">
        <v>2484</v>
      </c>
    </row>
    <row r="127" spans="2:75" x14ac:dyDescent="0.2">
      <c r="B127" s="1" t="s">
        <v>113</v>
      </c>
      <c r="N127" s="1" t="s">
        <v>114</v>
      </c>
      <c r="Y127" s="1" t="s">
        <v>123</v>
      </c>
      <c r="AI127" s="1" t="s">
        <v>122</v>
      </c>
      <c r="AS127" s="1" t="s">
        <v>2459</v>
      </c>
      <c r="BC127" s="1" t="s">
        <v>114</v>
      </c>
      <c r="BM127" s="1" t="s">
        <v>113</v>
      </c>
      <c r="BW127" s="1" t="s">
        <v>114</v>
      </c>
    </row>
    <row r="128" spans="2:75" x14ac:dyDescent="0.2">
      <c r="B128" s="1" t="s">
        <v>114</v>
      </c>
      <c r="N128" s="1" t="s">
        <v>113</v>
      </c>
      <c r="Y128" s="1" t="s">
        <v>124</v>
      </c>
      <c r="AI128" s="1" t="s">
        <v>2486</v>
      </c>
      <c r="AS128" s="1" t="s">
        <v>113</v>
      </c>
      <c r="BC128" s="1" t="s">
        <v>160</v>
      </c>
      <c r="BM128" s="1" t="s">
        <v>159</v>
      </c>
      <c r="BW128" s="1" t="s">
        <v>160</v>
      </c>
    </row>
    <row r="129" spans="2:75" x14ac:dyDescent="0.2">
      <c r="B129" s="1" t="s">
        <v>115</v>
      </c>
      <c r="N129" s="1" t="s">
        <v>115</v>
      </c>
      <c r="Y129" s="1" t="s">
        <v>2463</v>
      </c>
      <c r="AI129" s="1" t="s">
        <v>2487</v>
      </c>
      <c r="AS129" s="1" t="s">
        <v>159</v>
      </c>
      <c r="BC129" s="1" t="s">
        <v>113</v>
      </c>
      <c r="BM129" s="1" t="s">
        <v>2460</v>
      </c>
      <c r="BW129" s="1" t="s">
        <v>113</v>
      </c>
    </row>
    <row r="130" spans="2:75" x14ac:dyDescent="0.2">
      <c r="B130" s="1" t="s">
        <v>116</v>
      </c>
      <c r="N130" s="1" t="s">
        <v>158</v>
      </c>
      <c r="Y130" s="1" t="s">
        <v>2464</v>
      </c>
      <c r="AI130" s="1" t="s">
        <v>164</v>
      </c>
      <c r="AS130" s="1" t="s">
        <v>2460</v>
      </c>
      <c r="BC130" s="1" t="s">
        <v>162</v>
      </c>
      <c r="BM130" s="1" t="s">
        <v>160</v>
      </c>
      <c r="BW130" s="1" t="s">
        <v>162</v>
      </c>
    </row>
    <row r="131" spans="2:75" x14ac:dyDescent="0.2">
      <c r="B131" s="1" t="s">
        <v>117</v>
      </c>
      <c r="N131" s="1" t="s">
        <v>159</v>
      </c>
      <c r="Y131" s="1" t="s">
        <v>2465</v>
      </c>
      <c r="AI131" s="1" t="s">
        <v>127</v>
      </c>
      <c r="AS131" s="1" t="s">
        <v>160</v>
      </c>
      <c r="BC131" s="1" t="s">
        <v>2485</v>
      </c>
      <c r="BM131" s="1" t="s">
        <v>114</v>
      </c>
      <c r="BW131" s="1" t="s">
        <v>2485</v>
      </c>
    </row>
    <row r="132" spans="2:75" x14ac:dyDescent="0.2">
      <c r="B132" s="1" t="s">
        <v>118</v>
      </c>
      <c r="N132" s="1" t="s">
        <v>160</v>
      </c>
      <c r="Y132" s="1" t="s">
        <v>128</v>
      </c>
      <c r="AI132" s="1" t="s">
        <v>165</v>
      </c>
      <c r="AS132" s="1" t="s">
        <v>114</v>
      </c>
      <c r="BC132" s="1" t="s">
        <v>120</v>
      </c>
      <c r="BM132" s="1" t="s">
        <v>115</v>
      </c>
      <c r="BW132" s="1" t="s">
        <v>120</v>
      </c>
    </row>
    <row r="133" spans="2:75" x14ac:dyDescent="0.2">
      <c r="B133" s="1" t="s">
        <v>119</v>
      </c>
      <c r="N133" s="1" t="s">
        <v>161</v>
      </c>
      <c r="Y133" s="1" t="s">
        <v>127</v>
      </c>
      <c r="AI133" s="1" t="s">
        <v>166</v>
      </c>
      <c r="AS133" s="1" t="s">
        <v>2867</v>
      </c>
      <c r="BC133" s="1" t="s">
        <v>2462</v>
      </c>
      <c r="BM133" s="1" t="s">
        <v>2867</v>
      </c>
      <c r="BW133" s="1" t="s">
        <v>2462</v>
      </c>
    </row>
    <row r="134" spans="2:75" x14ac:dyDescent="0.2">
      <c r="B134" s="1" t="s">
        <v>120</v>
      </c>
      <c r="N134" s="1" t="s">
        <v>162</v>
      </c>
      <c r="Y134" s="1" t="s">
        <v>2583</v>
      </c>
      <c r="AI134" s="1" t="s">
        <v>167</v>
      </c>
      <c r="AS134" s="1" t="s">
        <v>2868</v>
      </c>
    </row>
    <row r="135" spans="2:75" x14ac:dyDescent="0.2">
      <c r="Y135" s="1" t="s">
        <v>132</v>
      </c>
      <c r="AI135" s="1" t="s">
        <v>132</v>
      </c>
      <c r="BC135" s="2" t="s">
        <v>2869</v>
      </c>
      <c r="BM135" s="2" t="s">
        <v>2869</v>
      </c>
      <c r="BW135" s="2" t="s">
        <v>2869</v>
      </c>
    </row>
    <row r="136" spans="2:75" x14ac:dyDescent="0.2">
      <c r="B136" s="2" t="s">
        <v>121</v>
      </c>
      <c r="N136" s="2" t="s">
        <v>121</v>
      </c>
      <c r="Y136" s="1"/>
      <c r="AS136" s="2" t="s">
        <v>2869</v>
      </c>
      <c r="BC136" s="1" t="s">
        <v>123</v>
      </c>
      <c r="BM136" s="1" t="s">
        <v>122</v>
      </c>
      <c r="BW136" s="1" t="s">
        <v>123</v>
      </c>
    </row>
    <row r="137" spans="2:75" x14ac:dyDescent="0.2">
      <c r="B137" s="1" t="s">
        <v>122</v>
      </c>
      <c r="N137" s="1" t="s">
        <v>122</v>
      </c>
      <c r="Y137" s="1"/>
      <c r="AS137" s="1" t="s">
        <v>122</v>
      </c>
      <c r="BC137" s="1" t="s">
        <v>124</v>
      </c>
      <c r="BM137" s="1" t="s">
        <v>123</v>
      </c>
      <c r="BW137" s="1" t="s">
        <v>124</v>
      </c>
    </row>
    <row r="138" spans="2:75" x14ac:dyDescent="0.2">
      <c r="B138" s="1" t="s">
        <v>123</v>
      </c>
      <c r="N138" s="1" t="s">
        <v>123</v>
      </c>
      <c r="Y138" s="1"/>
      <c r="AS138" s="1" t="s">
        <v>124</v>
      </c>
      <c r="BC138" s="1" t="s">
        <v>122</v>
      </c>
      <c r="BM138" s="1" t="s">
        <v>124</v>
      </c>
      <c r="BW138" s="1" t="s">
        <v>122</v>
      </c>
    </row>
    <row r="139" spans="2:75" x14ac:dyDescent="0.2">
      <c r="B139" s="1" t="s">
        <v>124</v>
      </c>
      <c r="N139" s="1" t="s">
        <v>124</v>
      </c>
      <c r="Y139" s="1"/>
      <c r="AS139" s="1" t="s">
        <v>125</v>
      </c>
      <c r="BC139" s="1" t="s">
        <v>2486</v>
      </c>
      <c r="BM139" s="1" t="s">
        <v>2463</v>
      </c>
      <c r="BW139" s="1" t="s">
        <v>2486</v>
      </c>
    </row>
    <row r="140" spans="2:75" x14ac:dyDescent="0.2">
      <c r="B140" s="1" t="s">
        <v>125</v>
      </c>
      <c r="N140" s="1" t="s">
        <v>163</v>
      </c>
      <c r="Y140" s="1"/>
      <c r="AS140" s="1" t="s">
        <v>123</v>
      </c>
      <c r="BC140" s="1" t="s">
        <v>2487</v>
      </c>
      <c r="BM140" s="1" t="s">
        <v>125</v>
      </c>
      <c r="BW140" s="1" t="s">
        <v>2487</v>
      </c>
    </row>
    <row r="141" spans="2:75" x14ac:dyDescent="0.2">
      <c r="B141" s="1" t="s">
        <v>126</v>
      </c>
      <c r="N141" s="1" t="s">
        <v>164</v>
      </c>
      <c r="Y141" s="1"/>
      <c r="AS141" s="1" t="s">
        <v>2463</v>
      </c>
      <c r="BC141" s="1" t="s">
        <v>164</v>
      </c>
      <c r="BM141" s="1" t="s">
        <v>3031</v>
      </c>
      <c r="BW141" s="1" t="s">
        <v>164</v>
      </c>
    </row>
    <row r="142" spans="2:75" x14ac:dyDescent="0.2">
      <c r="B142" s="1" t="s">
        <v>127</v>
      </c>
      <c r="N142" s="1" t="s">
        <v>127</v>
      </c>
      <c r="AS142" s="1" t="s">
        <v>2464</v>
      </c>
      <c r="BC142" s="1" t="s">
        <v>127</v>
      </c>
      <c r="BM142" s="1" t="s">
        <v>2464</v>
      </c>
      <c r="BW142" s="1" t="s">
        <v>127</v>
      </c>
    </row>
    <row r="143" spans="2:75" x14ac:dyDescent="0.2">
      <c r="B143" s="1" t="s">
        <v>128</v>
      </c>
      <c r="N143" s="1" t="s">
        <v>165</v>
      </c>
      <c r="AS143" s="1" t="s">
        <v>2870</v>
      </c>
      <c r="BC143" s="1" t="s">
        <v>165</v>
      </c>
      <c r="BM143" s="1" t="s">
        <v>3032</v>
      </c>
      <c r="BW143" s="1" t="s">
        <v>165</v>
      </c>
    </row>
    <row r="144" spans="2:75" x14ac:dyDescent="0.2">
      <c r="B144" s="1" t="s">
        <v>129</v>
      </c>
      <c r="N144" s="1" t="s">
        <v>166</v>
      </c>
      <c r="AS144" s="1" t="s">
        <v>2871</v>
      </c>
      <c r="BC144" s="1" t="s">
        <v>166</v>
      </c>
      <c r="BM144" s="1" t="s">
        <v>3033</v>
      </c>
      <c r="BW144" s="1" t="s">
        <v>166</v>
      </c>
    </row>
    <row r="145" spans="1:75" x14ac:dyDescent="0.2">
      <c r="B145" s="1" t="s">
        <v>130</v>
      </c>
      <c r="N145" s="1" t="s">
        <v>124</v>
      </c>
      <c r="AS145" s="1" t="s">
        <v>2872</v>
      </c>
      <c r="BC145" s="1" t="s">
        <v>2488</v>
      </c>
      <c r="BM145" s="1" t="s">
        <v>129</v>
      </c>
      <c r="BW145" s="1" t="s">
        <v>167</v>
      </c>
    </row>
    <row r="146" spans="1:75" x14ac:dyDescent="0.2">
      <c r="B146" s="1" t="s">
        <v>131</v>
      </c>
      <c r="N146" s="1" t="s">
        <v>167</v>
      </c>
      <c r="AS146" s="1" t="s">
        <v>2873</v>
      </c>
      <c r="BC146" s="1" t="s">
        <v>132</v>
      </c>
      <c r="BM146" s="1" t="s">
        <v>132</v>
      </c>
      <c r="BW146" s="1" t="s">
        <v>132</v>
      </c>
    </row>
    <row r="147" spans="1:75" x14ac:dyDescent="0.2">
      <c r="B147" s="1" t="s">
        <v>132</v>
      </c>
      <c r="N147" s="1" t="s">
        <v>132</v>
      </c>
      <c r="AS147" s="1" t="s">
        <v>132</v>
      </c>
    </row>
    <row r="150" spans="1:75" ht="20" x14ac:dyDescent="0.25">
      <c r="A150" s="10">
        <v>2025</v>
      </c>
      <c r="N150" s="3"/>
    </row>
    <row r="151" spans="1:75" x14ac:dyDescent="0.2">
      <c r="A151" t="s">
        <v>168</v>
      </c>
      <c r="B151" s="5">
        <v>0.03</v>
      </c>
      <c r="C151" t="s">
        <v>169</v>
      </c>
      <c r="N151" s="3"/>
    </row>
    <row r="152" spans="1:75" x14ac:dyDescent="0.2">
      <c r="A152" t="s">
        <v>168</v>
      </c>
      <c r="B152" s="5">
        <v>2.5000000000000001E-3</v>
      </c>
      <c r="C152" t="s">
        <v>170</v>
      </c>
      <c r="N152" s="3"/>
    </row>
    <row r="153" spans="1:75" x14ac:dyDescent="0.2">
      <c r="B153" s="5"/>
      <c r="N153" s="3"/>
    </row>
    <row r="154" spans="1:75" x14ac:dyDescent="0.2">
      <c r="B154" s="5"/>
      <c r="N154" s="3"/>
    </row>
    <row r="155" spans="1:75" x14ac:dyDescent="0.2">
      <c r="B155" s="5"/>
      <c r="N155" s="3"/>
    </row>
    <row r="156" spans="1:75" x14ac:dyDescent="0.2">
      <c r="B156" s="5"/>
      <c r="N156" s="3"/>
    </row>
    <row r="157" spans="1:75" x14ac:dyDescent="0.2">
      <c r="B157" s="5"/>
      <c r="N157" s="3"/>
    </row>
    <row r="158" spans="1:75" x14ac:dyDescent="0.2">
      <c r="B158" s="5"/>
      <c r="N158" s="3"/>
    </row>
    <row r="159" spans="1:75" x14ac:dyDescent="0.2">
      <c r="B159" s="5"/>
      <c r="N159" s="3"/>
    </row>
    <row r="160" spans="1:75" x14ac:dyDescent="0.2">
      <c r="B160" s="5"/>
      <c r="N160" s="3"/>
    </row>
    <row r="161" spans="14:14" x14ac:dyDescent="0.2">
      <c r="N161" s="3"/>
    </row>
    <row r="162" spans="14:14" x14ac:dyDescent="0.2">
      <c r="N162" s="3"/>
    </row>
    <row r="163" spans="14:14" x14ac:dyDescent="0.2">
      <c r="N163" s="3"/>
    </row>
    <row r="164" spans="14:14" x14ac:dyDescent="0.2">
      <c r="N164" s="3"/>
    </row>
    <row r="165" spans="14:14" x14ac:dyDescent="0.2">
      <c r="N165" s="3"/>
    </row>
    <row r="166" spans="14:14" x14ac:dyDescent="0.2">
      <c r="N166" s="3"/>
    </row>
    <row r="167" spans="14:14" x14ac:dyDescent="0.2">
      <c r="N167" s="3"/>
    </row>
    <row r="168" spans="14:14" x14ac:dyDescent="0.2">
      <c r="N168" s="3"/>
    </row>
    <row r="169" spans="14:14" x14ac:dyDescent="0.2">
      <c r="N169" s="3"/>
    </row>
    <row r="170" spans="14:14" x14ac:dyDescent="0.2">
      <c r="N170" s="3"/>
    </row>
    <row r="171" spans="14:14" x14ac:dyDescent="0.2">
      <c r="N171" s="3"/>
    </row>
    <row r="172" spans="14:14" x14ac:dyDescent="0.2">
      <c r="N172" s="3"/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44B0-EEED-B246-8F62-D5B6F3C6990D}">
  <dimension ref="A4:S45"/>
  <sheetViews>
    <sheetView topLeftCell="A21" zoomScale="86" workbookViewId="0">
      <selection activeCell="I40" sqref="I40"/>
    </sheetView>
  </sheetViews>
  <sheetFormatPr baseColWidth="10" defaultRowHeight="16" x14ac:dyDescent="0.2"/>
  <sheetData>
    <row r="4" spans="1:19" x14ac:dyDescent="0.2">
      <c r="B4" t="s">
        <v>3065</v>
      </c>
      <c r="C4" t="s">
        <v>3064</v>
      </c>
      <c r="D4" t="s">
        <v>3063</v>
      </c>
      <c r="E4" t="s">
        <v>3062</v>
      </c>
      <c r="F4" t="s">
        <v>3061</v>
      </c>
      <c r="G4" t="s">
        <v>3060</v>
      </c>
      <c r="H4" t="s">
        <v>3059</v>
      </c>
      <c r="I4" t="s">
        <v>3058</v>
      </c>
      <c r="J4" t="s">
        <v>3057</v>
      </c>
      <c r="K4" t="s">
        <v>3056</v>
      </c>
      <c r="L4" t="s">
        <v>3055</v>
      </c>
      <c r="M4" t="s">
        <v>3054</v>
      </c>
      <c r="N4" t="s">
        <v>3053</v>
      </c>
      <c r="O4" t="s">
        <v>3052</v>
      </c>
      <c r="P4" t="s">
        <v>3051</v>
      </c>
      <c r="Q4" t="s">
        <v>3050</v>
      </c>
      <c r="R4" t="s">
        <v>3049</v>
      </c>
      <c r="S4" t="s">
        <v>3048</v>
      </c>
    </row>
    <row r="5" spans="1:19" x14ac:dyDescent="0.2">
      <c r="A5" t="s">
        <v>3066</v>
      </c>
      <c r="B5" s="19">
        <v>1.15E-2</v>
      </c>
      <c r="C5" s="19">
        <v>1.2999999999999999E-2</v>
      </c>
      <c r="D5" s="19">
        <v>2.7099999999999999E-2</v>
      </c>
      <c r="E5" s="19">
        <v>3.7499999999999999E-2</v>
      </c>
      <c r="F5" s="19">
        <v>8.3999999999999995E-3</v>
      </c>
      <c r="G5" s="19">
        <v>6.1000000000000004E-3</v>
      </c>
      <c r="H5" s="19">
        <v>-0.02</v>
      </c>
      <c r="I5" s="19">
        <v>-9.4000000000000004E-3</v>
      </c>
      <c r="J5" s="19">
        <v>-2.7000000000000001E-3</v>
      </c>
      <c r="K5" s="5">
        <v>1.1900000000000001E-2</v>
      </c>
      <c r="L5" s="5">
        <v>-3.2099999999999997E-2</v>
      </c>
      <c r="M5" s="19">
        <v>-2.4E-2</v>
      </c>
      <c r="N5" s="19">
        <v>-1.8499999999999999E-2</v>
      </c>
      <c r="O5" s="19">
        <v>-2.1899999999999999E-2</v>
      </c>
      <c r="P5" s="19">
        <v>-1.5599999999999999E-2</v>
      </c>
      <c r="Q5" s="19">
        <v>-2.2499999999999999E-2</v>
      </c>
      <c r="R5" s="19">
        <v>-3.85E-2</v>
      </c>
      <c r="S5" s="19">
        <v>-4.1300000000000003E-2</v>
      </c>
    </row>
    <row r="6" spans="1:19" x14ac:dyDescent="0.2">
      <c r="A6" t="s">
        <v>3067</v>
      </c>
      <c r="B6" s="19">
        <v>0.01</v>
      </c>
      <c r="C6" s="19">
        <v>0.01</v>
      </c>
      <c r="D6" s="19">
        <v>-3.8100000000000002E-2</v>
      </c>
      <c r="E6" s="19">
        <v>-2.3E-2</v>
      </c>
      <c r="F6" s="19">
        <v>1.01E-2</v>
      </c>
      <c r="G6" s="19">
        <v>3.3E-3</v>
      </c>
      <c r="H6" s="19">
        <v>1.67E-2</v>
      </c>
      <c r="I6" s="19">
        <v>2.52E-2</v>
      </c>
      <c r="J6" s="19">
        <v>-8.8999999999999999E-3</v>
      </c>
      <c r="K6" s="5">
        <v>-8.3999999999999995E-3</v>
      </c>
      <c r="L6" s="5">
        <v>1.4200000000000001E-2</v>
      </c>
      <c r="M6" s="19">
        <v>6.3E-3</v>
      </c>
      <c r="N6" s="19">
        <v>-6.0900000000000003E-2</v>
      </c>
      <c r="O6" s="19">
        <v>-6.3399999999999998E-2</v>
      </c>
      <c r="P6" s="19">
        <v>-8.6E-3</v>
      </c>
      <c r="Q6" s="19">
        <v>-3.5000000000000001E-3</v>
      </c>
      <c r="R6" s="19">
        <v>4.3E-3</v>
      </c>
      <c r="S6" s="19">
        <v>1.47E-2</v>
      </c>
    </row>
    <row r="7" spans="1:19" x14ac:dyDescent="0.2">
      <c r="A7" t="s">
        <v>3068</v>
      </c>
      <c r="B7" s="19">
        <v>-4.0000000000000002E-4</v>
      </c>
      <c r="C7" s="19">
        <v>-3.2000000000000002E-3</v>
      </c>
      <c r="D7" s="19">
        <v>-3.0999999999999999E-3</v>
      </c>
      <c r="E7" s="19">
        <v>2.5000000000000001E-3</v>
      </c>
      <c r="F7" s="19">
        <v>1.06E-2</v>
      </c>
      <c r="G7" s="19">
        <v>7.3000000000000001E-3</v>
      </c>
      <c r="H7" s="19">
        <v>5.2699999999999997E-2</v>
      </c>
      <c r="I7" s="19">
        <v>6.5100000000000005E-2</v>
      </c>
      <c r="J7" s="19">
        <v>3.2800000000000003E-2</v>
      </c>
      <c r="K7" s="5">
        <v>5.7999999999999996E-3</v>
      </c>
      <c r="L7" s="5">
        <v>2.35E-2</v>
      </c>
      <c r="M7" s="19">
        <v>3.1899999999999998E-2</v>
      </c>
      <c r="N7" s="19">
        <v>-1.0500000000000001E-2</v>
      </c>
      <c r="O7" s="19">
        <v>-5.4999999999999997E-3</v>
      </c>
      <c r="P7" s="19">
        <v>2.4899999999999999E-2</v>
      </c>
      <c r="Q7" s="19">
        <v>1.15E-2</v>
      </c>
      <c r="R7" s="19">
        <v>2.4500000000000001E-2</v>
      </c>
      <c r="S7" s="19">
        <v>2.29E-2</v>
      </c>
    </row>
    <row r="8" spans="1:19" x14ac:dyDescent="0.2">
      <c r="A8" t="s">
        <v>3069</v>
      </c>
      <c r="B8" s="19">
        <v>7.7999999999999996E-3</v>
      </c>
      <c r="C8" s="19">
        <v>1.52E-2</v>
      </c>
      <c r="D8" s="19">
        <v>-2.9999999999999997E-4</v>
      </c>
      <c r="E8" s="19">
        <v>1.34E-2</v>
      </c>
      <c r="F8" s="19">
        <v>-6.9999999999999999E-4</v>
      </c>
      <c r="G8" s="19">
        <v>-5.1000000000000004E-3</v>
      </c>
      <c r="H8" s="19">
        <v>1.06E-2</v>
      </c>
      <c r="I8" s="19">
        <v>1.46E-2</v>
      </c>
      <c r="J8" s="19">
        <v>-1.54E-2</v>
      </c>
      <c r="K8" s="5">
        <v>-3.7900000000000003E-2</v>
      </c>
      <c r="L8" s="5">
        <v>-6.9099999999999995E-2</v>
      </c>
      <c r="M8" s="19">
        <v>-5.4699999999999999E-2</v>
      </c>
      <c r="N8" s="19">
        <v>1.2200000000000001E-2</v>
      </c>
      <c r="O8" s="19">
        <v>5.1000000000000004E-3</v>
      </c>
      <c r="P8" s="19">
        <v>2.7900000000000001E-2</v>
      </c>
      <c r="Q8" s="19">
        <v>9.2999999999999992E-3</v>
      </c>
      <c r="R8" s="19">
        <v>2.3699999999999999E-2</v>
      </c>
      <c r="S8" s="19">
        <v>-1.72E-2</v>
      </c>
    </row>
    <row r="9" spans="1:19" x14ac:dyDescent="0.2">
      <c r="A9" t="s">
        <v>3070</v>
      </c>
      <c r="B9" s="19">
        <v>6.8999999999999999E-3</v>
      </c>
      <c r="C9" s="19">
        <v>3.0000000000000001E-3</v>
      </c>
      <c r="D9" s="19">
        <v>1.6199999999999999E-2</v>
      </c>
      <c r="E9" s="19">
        <v>-7.1000000000000004E-3</v>
      </c>
      <c r="F9" s="19">
        <v>-2.1600000000000001E-2</v>
      </c>
      <c r="G9" s="19">
        <v>-6.9999999999999999E-4</v>
      </c>
      <c r="H9" s="19">
        <v>2.0500000000000001E-2</v>
      </c>
      <c r="I9" s="19">
        <v>5.28E-2</v>
      </c>
      <c r="J9" s="19">
        <v>1.4200000000000001E-2</v>
      </c>
      <c r="K9" s="5">
        <v>7.4999999999999997E-3</v>
      </c>
      <c r="L9" s="5">
        <v>2.4400000000000002E-2</v>
      </c>
      <c r="M9" s="19">
        <v>-1.06E-2</v>
      </c>
      <c r="N9" s="19">
        <v>6.3E-3</v>
      </c>
      <c r="O9" s="19">
        <v>8.2000000000000007E-3</v>
      </c>
      <c r="P9" s="19">
        <v>-2.7199999999999998E-2</v>
      </c>
      <c r="Q9" s="19">
        <v>6.1000000000000004E-3</v>
      </c>
      <c r="R9" s="19">
        <v>4.7E-2</v>
      </c>
      <c r="S9" s="19">
        <v>3.8899999999999997E-2</v>
      </c>
    </row>
    <row r="10" spans="1:19" x14ac:dyDescent="0.2">
      <c r="A10" t="s">
        <v>3071</v>
      </c>
      <c r="B10" s="19">
        <v>-3.3999999999999998E-3</v>
      </c>
      <c r="C10" s="19">
        <v>-1.4E-2</v>
      </c>
      <c r="D10" s="19">
        <v>5.0000000000000001E-4</v>
      </c>
      <c r="E10" s="19">
        <v>1.6000000000000001E-3</v>
      </c>
      <c r="F10" s="19">
        <v>-4.3E-3</v>
      </c>
      <c r="G10" s="19">
        <v>5.4000000000000003E-3</v>
      </c>
      <c r="H10" s="19">
        <v>1.7500000000000002E-2</v>
      </c>
      <c r="I10" s="19">
        <v>1.37E-2</v>
      </c>
      <c r="J10" s="19">
        <v>-4.1999999999999997E-3</v>
      </c>
      <c r="K10" s="5">
        <v>4.4000000000000003E-3</v>
      </c>
      <c r="L10" s="5">
        <v>-5.8999999999999999E-3</v>
      </c>
      <c r="M10" s="19">
        <v>-4.4999999999999998E-2</v>
      </c>
      <c r="N10" s="19">
        <v>0.03</v>
      </c>
      <c r="O10" s="19">
        <v>1.52E-2</v>
      </c>
      <c r="P10" s="19">
        <v>-1.0699999999999999E-2</v>
      </c>
      <c r="Q10" s="19">
        <v>2.5000000000000001E-3</v>
      </c>
      <c r="R10" s="19">
        <v>-1.2E-2</v>
      </c>
      <c r="S10" s="19">
        <v>1.78E-2</v>
      </c>
    </row>
    <row r="11" spans="1:19" x14ac:dyDescent="0.2">
      <c r="A11" t="s">
        <v>3072</v>
      </c>
      <c r="B11" s="19">
        <v>1.2999999999999999E-2</v>
      </c>
      <c r="C11" s="19">
        <v>5.4999999999999997E-3</v>
      </c>
      <c r="D11" s="19">
        <v>-7.6E-3</v>
      </c>
      <c r="E11" s="19">
        <v>-1.1599999999999999E-2</v>
      </c>
      <c r="F11" s="19">
        <v>-1.61E-2</v>
      </c>
      <c r="G11" s="19">
        <v>-6.6E-3</v>
      </c>
      <c r="H11" s="19">
        <v>-7.7600000000000002E-2</v>
      </c>
      <c r="I11" s="19">
        <v>-6.6500000000000004E-2</v>
      </c>
      <c r="J11" s="19">
        <v>-1.47E-2</v>
      </c>
      <c r="K11" s="5">
        <v>-1E-4</v>
      </c>
      <c r="L11" s="5">
        <v>-9.5999999999999992E-3</v>
      </c>
      <c r="M11" s="19">
        <v>-5.4800000000000001E-2</v>
      </c>
      <c r="N11" s="19">
        <v>3.1399999999999997E-2</v>
      </c>
      <c r="O11" s="19">
        <v>1.84E-2</v>
      </c>
      <c r="P11" s="19">
        <v>1.34E-2</v>
      </c>
      <c r="Q11" s="19">
        <v>1.12E-2</v>
      </c>
      <c r="R11" s="19">
        <v>1.9E-3</v>
      </c>
      <c r="S11" s="19">
        <v>4.0000000000000001E-3</v>
      </c>
    </row>
    <row r="12" spans="1:19" x14ac:dyDescent="0.2">
      <c r="A12" t="s">
        <v>3073</v>
      </c>
      <c r="B12" s="19">
        <v>5.5999999999999999E-3</v>
      </c>
      <c r="C12" s="19">
        <v>2.07E-2</v>
      </c>
      <c r="D12" s="19">
        <v>2.8999999999999998E-3</v>
      </c>
      <c r="E12" s="19">
        <v>0</v>
      </c>
      <c r="F12" s="19">
        <v>2.4199999999999999E-2</v>
      </c>
      <c r="G12" s="19">
        <v>-1.83E-2</v>
      </c>
      <c r="H12" s="19">
        <v>-3.5000000000000001E-3</v>
      </c>
      <c r="I12" s="19">
        <v>8.0000000000000004E-4</v>
      </c>
      <c r="J12" s="19">
        <v>2.7000000000000001E-3</v>
      </c>
      <c r="K12" s="5">
        <v>-9.4999999999999998E-3</v>
      </c>
      <c r="L12" s="5">
        <v>-3.4099999999999998E-2</v>
      </c>
      <c r="M12" s="19">
        <v>-2.47E-2</v>
      </c>
      <c r="N12" s="19">
        <v>-3.3000000000000002E-2</v>
      </c>
      <c r="O12" s="19">
        <v>-4.53E-2</v>
      </c>
      <c r="P12" s="19">
        <v>1.1299999999999999E-2</v>
      </c>
      <c r="Q12" s="19">
        <v>5.4000000000000003E-3</v>
      </c>
      <c r="R12" s="19">
        <v>-2.1999999999999999E-2</v>
      </c>
      <c r="S12" s="19">
        <v>-4.5600000000000002E-2</v>
      </c>
    </row>
    <row r="13" spans="1:19" x14ac:dyDescent="0.2">
      <c r="A13" t="s">
        <v>3074</v>
      </c>
      <c r="B13" s="19">
        <v>-1.0800000000000001E-2</v>
      </c>
      <c r="C13" s="19">
        <v>-1.21E-2</v>
      </c>
      <c r="D13" s="19">
        <v>-8.0000000000000004E-4</v>
      </c>
      <c r="E13" s="19">
        <v>-1.4E-3</v>
      </c>
      <c r="F13" s="19">
        <v>6.0000000000000001E-3</v>
      </c>
      <c r="G13" s="19">
        <v>8.3000000000000001E-3</v>
      </c>
      <c r="H13" s="19">
        <v>1.1000000000000001E-3</v>
      </c>
      <c r="I13" s="19">
        <v>1.4500000000000001E-2</v>
      </c>
      <c r="J13" s="19">
        <v>-6.1000000000000004E-3</v>
      </c>
      <c r="K13" s="5">
        <v>2.2100000000000002E-2</v>
      </c>
      <c r="L13" s="5">
        <v>2.4400000000000002E-2</v>
      </c>
      <c r="M13" s="19">
        <v>3.4000000000000002E-2</v>
      </c>
      <c r="N13" s="19">
        <v>1.0800000000000001E-2</v>
      </c>
      <c r="O13" s="19">
        <v>3.6400000000000002E-2</v>
      </c>
      <c r="P13" s="19">
        <v>6.2399999999999997E-2</v>
      </c>
      <c r="Q13" s="19">
        <v>3.2399999999999998E-2</v>
      </c>
      <c r="R13" s="19">
        <v>3.5200000000000002E-2</v>
      </c>
      <c r="S13" s="19">
        <v>3.49E-2</v>
      </c>
    </row>
    <row r="14" spans="1:19" x14ac:dyDescent="0.2">
      <c r="A14" t="s">
        <v>3075</v>
      </c>
      <c r="B14" s="19">
        <v>-1.2699999999999999E-2</v>
      </c>
      <c r="C14" s="19">
        <v>-2.3999999999999998E-3</v>
      </c>
      <c r="D14" s="19">
        <v>2E-3</v>
      </c>
      <c r="E14" s="19">
        <v>-9.4000000000000004E-3</v>
      </c>
      <c r="F14" s="19">
        <v>2.7000000000000001E-3</v>
      </c>
      <c r="G14" s="19">
        <v>2.2000000000000001E-3</v>
      </c>
      <c r="H14" s="19">
        <v>-8.8999999999999999E-3</v>
      </c>
      <c r="I14" s="19">
        <v>-8.3999999999999995E-3</v>
      </c>
      <c r="J14" s="19">
        <v>-3.5099999999999999E-2</v>
      </c>
      <c r="K14" s="5">
        <v>-6.3700000000000007E-2</v>
      </c>
      <c r="L14" s="5">
        <v>3.6299999999999999E-2</v>
      </c>
      <c r="M14" s="19">
        <v>3.5299999999999998E-2</v>
      </c>
      <c r="N14" s="19">
        <v>2.7799999999999998E-2</v>
      </c>
      <c r="O14" s="19">
        <v>1.7899999999999999E-2</v>
      </c>
      <c r="P14" s="19">
        <v>-1.24E-2</v>
      </c>
      <c r="Q14" s="19">
        <v>-9.7999999999999997E-3</v>
      </c>
      <c r="R14" s="19">
        <v>3.0800000000000001E-2</v>
      </c>
      <c r="S14" s="19">
        <v>1.55E-2</v>
      </c>
    </row>
    <row r="15" spans="1:19" x14ac:dyDescent="0.2">
      <c r="A15" t="s">
        <v>3076</v>
      </c>
      <c r="B15" s="19">
        <v>4.4000000000000003E-3</v>
      </c>
      <c r="C15" s="19">
        <v>2.9999999999999997E-4</v>
      </c>
      <c r="D15" s="19">
        <v>1.15E-2</v>
      </c>
      <c r="E15" s="19">
        <v>8.5000000000000006E-3</v>
      </c>
      <c r="F15" s="19">
        <v>2.58E-2</v>
      </c>
      <c r="G15" s="19">
        <v>1.4800000000000001E-2</v>
      </c>
      <c r="H15" s="19">
        <v>-4.9500000000000002E-2</v>
      </c>
      <c r="I15" s="19">
        <v>-4.87E-2</v>
      </c>
      <c r="J15" s="19">
        <v>-2.7E-2</v>
      </c>
      <c r="K15" s="5">
        <v>-1.8100000000000002E-2</v>
      </c>
      <c r="L15" s="5">
        <v>5.45E-2</v>
      </c>
      <c r="M15" s="19">
        <v>7.9299999999999995E-2</v>
      </c>
      <c r="N15" s="19">
        <v>2E-3</v>
      </c>
      <c r="O15" s="19">
        <v>6.1999999999999998E-3</v>
      </c>
      <c r="P15" s="19">
        <v>-1.8499999999999999E-2</v>
      </c>
      <c r="Q15" s="19">
        <v>6.6E-3</v>
      </c>
      <c r="R15" s="19">
        <v>7.7000000000000002E-3</v>
      </c>
      <c r="S15" s="19">
        <v>-3.0000000000000001E-3</v>
      </c>
    </row>
    <row r="16" spans="1:19" x14ac:dyDescent="0.2">
      <c r="A16" t="s">
        <v>3077</v>
      </c>
      <c r="B16" s="19">
        <v>2.5000000000000001E-2</v>
      </c>
      <c r="C16" s="19">
        <v>1.23E-2</v>
      </c>
      <c r="D16" s="19">
        <v>-3.3700000000000001E-2</v>
      </c>
      <c r="E16" s="19">
        <v>-4.8599999999999997E-2</v>
      </c>
      <c r="F16" s="19">
        <v>-8.6E-3</v>
      </c>
      <c r="G16" s="19">
        <v>-2.1399999999999999E-2</v>
      </c>
      <c r="H16" s="19">
        <v>4.3499999999999997E-2</v>
      </c>
      <c r="I16" s="19">
        <v>3.56E-2</v>
      </c>
      <c r="J16" s="19">
        <v>-3.2099999999999997E-2</v>
      </c>
      <c r="K16" s="5">
        <v>-1.2699999999999999E-2</v>
      </c>
      <c r="L16" s="5">
        <v>-1.77E-2</v>
      </c>
      <c r="M16" s="19">
        <v>6.7999999999999996E-3</v>
      </c>
      <c r="N16" s="19">
        <v>6.5000000000000002E-2</v>
      </c>
      <c r="O16" s="19">
        <v>5.0599999999999999E-2</v>
      </c>
      <c r="P16" s="19">
        <v>-3.4599999999999999E-2</v>
      </c>
      <c r="Q16" s="19">
        <v>-2.0400000000000001E-2</v>
      </c>
      <c r="R16" s="19">
        <v>6.1000000000000004E-3</v>
      </c>
      <c r="S16" s="19">
        <v>2.3E-3</v>
      </c>
    </row>
    <row r="17" spans="2:12" x14ac:dyDescent="0.2">
      <c r="H17" s="5"/>
    </row>
    <row r="19" spans="2:12" x14ac:dyDescent="0.2">
      <c r="D19">
        <v>2017</v>
      </c>
      <c r="E19">
        <v>2018</v>
      </c>
      <c r="F19">
        <v>2019</v>
      </c>
      <c r="G19">
        <v>2020</v>
      </c>
      <c r="H19">
        <v>2021</v>
      </c>
      <c r="I19">
        <v>2022</v>
      </c>
      <c r="J19">
        <v>2023</v>
      </c>
      <c r="K19">
        <v>2024</v>
      </c>
      <c r="L19">
        <v>2025</v>
      </c>
    </row>
    <row r="20" spans="2:12" x14ac:dyDescent="0.2">
      <c r="B20" t="s">
        <v>3044</v>
      </c>
      <c r="C20" t="s">
        <v>173</v>
      </c>
      <c r="D20" s="5">
        <v>5.7799999999999997E-2</v>
      </c>
      <c r="E20" s="19">
        <v>-2.5000000000000001E-2</v>
      </c>
      <c r="F20" s="5">
        <v>3.5937793848936916E-2</v>
      </c>
      <c r="G20" s="5">
        <v>-4.3966426100520151E-3</v>
      </c>
      <c r="H20" s="5">
        <v>-9.4219620756028633E-2</v>
      </c>
      <c r="I20" s="5">
        <v>1.9203803012992626E-3</v>
      </c>
      <c r="J20" s="5">
        <v>5.8019690855640738E-2</v>
      </c>
      <c r="K20" s="5">
        <v>8.1661201442186915E-3</v>
      </c>
      <c r="L20" s="5">
        <v>0.11054294044757929</v>
      </c>
    </row>
    <row r="21" spans="2:12" x14ac:dyDescent="0.2">
      <c r="C21" t="s">
        <v>472</v>
      </c>
      <c r="D21" s="5">
        <v>3.6299999999999999E-2</v>
      </c>
      <c r="E21" s="19">
        <v>6.4000000000000001E-2</v>
      </c>
      <c r="F21" s="5">
        <v>4.9951130663333877E-2</v>
      </c>
      <c r="G21" s="5">
        <v>0.12685497446081706</v>
      </c>
      <c r="H21" s="5">
        <v>6.6835775667608649E-2</v>
      </c>
      <c r="I21" s="5">
        <v>0.12195850262952707</v>
      </c>
      <c r="J21" s="5">
        <v>0.11497058912450768</v>
      </c>
      <c r="K21" s="5">
        <v>9.6020693792346845E-2</v>
      </c>
      <c r="L21" s="22">
        <v>8.6146782771141156E-2</v>
      </c>
    </row>
    <row r="22" spans="2:12" x14ac:dyDescent="0.2">
      <c r="C22" s="5" t="s">
        <v>171</v>
      </c>
      <c r="D22" s="7">
        <v>0.77</v>
      </c>
      <c r="E22" s="23">
        <v>-0.86</v>
      </c>
      <c r="F22" s="7">
        <v>0.11887206095407757</v>
      </c>
      <c r="G22" s="7">
        <v>-0.27114934007319075</v>
      </c>
      <c r="H22" s="7">
        <v>-1.8585797728121609</v>
      </c>
      <c r="I22" s="7">
        <v>-0.23023913128876389</v>
      </c>
      <c r="J22" s="7">
        <v>0.2437118142040374</v>
      </c>
      <c r="K22" s="7">
        <v>-0.22738723282919601</v>
      </c>
      <c r="L22" s="21">
        <v>0.93495006843785311</v>
      </c>
    </row>
    <row r="23" spans="2:12" x14ac:dyDescent="0.2">
      <c r="C23" t="s">
        <v>474</v>
      </c>
      <c r="D23" s="5">
        <v>2.0299999999999999E-2</v>
      </c>
      <c r="E23" s="19">
        <v>4.87E-2</v>
      </c>
      <c r="F23" s="5">
        <v>3.1494126436527811E-2</v>
      </c>
      <c r="G23" s="5">
        <v>0.10709285690465069</v>
      </c>
      <c r="H23" s="5">
        <v>4.3332114451722088E-2</v>
      </c>
      <c r="I23" s="5">
        <v>8.0143596125953814E-2</v>
      </c>
      <c r="J23" s="5">
        <v>7.6790819763823348E-2</v>
      </c>
      <c r="K23" s="5">
        <v>3.2828471963047126E-2</v>
      </c>
      <c r="L23" s="5">
        <v>4.6357307945997017E-2</v>
      </c>
    </row>
    <row r="24" spans="2:12" x14ac:dyDescent="0.2">
      <c r="C24" t="s">
        <v>177</v>
      </c>
      <c r="D24" s="7">
        <v>1.37</v>
      </c>
      <c r="E24" s="23">
        <v>-1.1299999999999999</v>
      </c>
      <c r="F24" s="7">
        <v>0.18853654699404807</v>
      </c>
      <c r="G24" s="7">
        <v>-0.32118521817637946</v>
      </c>
      <c r="H24" s="7">
        <v>-2.8666872671174701</v>
      </c>
      <c r="I24" s="7">
        <v>-0.35036635559216434</v>
      </c>
      <c r="J24" s="7">
        <v>0.36488334076674356</v>
      </c>
      <c r="K24" s="7">
        <v>-0.66508973918610303</v>
      </c>
      <c r="L24" s="7">
        <v>1.7374378283874057</v>
      </c>
    </row>
    <row r="25" spans="2:12" x14ac:dyDescent="0.2">
      <c r="C25" t="s">
        <v>179</v>
      </c>
      <c r="D25" s="5">
        <v>-2.35E-2</v>
      </c>
      <c r="E25" s="19">
        <v>-4.1500000000000002E-2</v>
      </c>
      <c r="F25" s="5">
        <v>-2.23E-2</v>
      </c>
      <c r="G25" s="5">
        <v>-8.1100000000000005E-2</v>
      </c>
      <c r="H25" s="5">
        <v>-0.1003</v>
      </c>
      <c r="I25" s="5">
        <v>-6.9099999999999995E-2</v>
      </c>
      <c r="J25" s="5">
        <v>-8.9899999999999994E-2</v>
      </c>
      <c r="K25" s="5">
        <v>-6.5499999999999989E-2</v>
      </c>
      <c r="L25" s="5">
        <v>-3.85E-2</v>
      </c>
    </row>
    <row r="26" spans="2:12" x14ac:dyDescent="0.2">
      <c r="B26" t="s">
        <v>3045</v>
      </c>
      <c r="C26" t="s">
        <v>173</v>
      </c>
      <c r="D26" s="5">
        <v>4.87E-2</v>
      </c>
      <c r="E26" s="5">
        <v>-3.9252089420709124E-2</v>
      </c>
      <c r="F26" s="5">
        <v>-5.3328466255463391E-3</v>
      </c>
      <c r="G26" s="5">
        <v>8.4444207994286424E-2</v>
      </c>
      <c r="H26" s="5">
        <v>-9.7195789735306293E-2</v>
      </c>
      <c r="I26" s="5">
        <v>-2.9280146184736955E-2</v>
      </c>
      <c r="J26" s="5">
        <v>1.6223693412813933E-2</v>
      </c>
      <c r="K26" s="5">
        <v>2.7917646999350065E-2</v>
      </c>
      <c r="L26" s="5">
        <v>4.0615412203567347E-2</v>
      </c>
    </row>
    <row r="27" spans="2:12" x14ac:dyDescent="0.2">
      <c r="C27" t="s">
        <v>472</v>
      </c>
      <c r="D27" s="5">
        <v>3.7400000000000003E-2</v>
      </c>
      <c r="E27" s="5">
        <v>7.1721481503737125E-2</v>
      </c>
      <c r="F27" s="5">
        <v>3.743196252111046E-2</v>
      </c>
      <c r="G27" s="5">
        <v>0.13140489474763245</v>
      </c>
      <c r="H27" s="5">
        <v>8.1383151037099033E-2</v>
      </c>
      <c r="I27" s="5">
        <v>0.14426754186705903</v>
      </c>
      <c r="J27" s="5">
        <v>0.11175571980480868</v>
      </c>
      <c r="K27" s="5">
        <v>5.1926871656205124E-2</v>
      </c>
      <c r="L27" s="22">
        <v>9.3299454348984179E-2</v>
      </c>
    </row>
    <row r="28" spans="2:12" x14ac:dyDescent="0.2">
      <c r="C28" s="5" t="s">
        <v>171</v>
      </c>
      <c r="D28" s="7">
        <v>0.5</v>
      </c>
      <c r="E28" s="7">
        <v>-0.96556970057988367</v>
      </c>
      <c r="F28" s="7">
        <v>-0.94392183165976706</v>
      </c>
      <c r="G28" s="7">
        <v>0.41432404857405325</v>
      </c>
      <c r="H28" s="7">
        <v>-1.5629253489745472</v>
      </c>
      <c r="I28" s="7">
        <v>-0.41090425065509856</v>
      </c>
      <c r="J28" s="7">
        <v>-0.12327160176899771</v>
      </c>
      <c r="K28" s="7">
        <v>-4.0101645530211678E-2</v>
      </c>
      <c r="L28" s="21">
        <v>0.11377785944878815</v>
      </c>
    </row>
    <row r="29" spans="2:12" x14ac:dyDescent="0.2">
      <c r="C29" t="s">
        <v>474</v>
      </c>
      <c r="D29" s="5">
        <v>2.07E-2</v>
      </c>
      <c r="E29" s="5">
        <v>6.4717354704901212E-2</v>
      </c>
      <c r="F29" s="5">
        <v>2.6025180114650499E-2</v>
      </c>
      <c r="G29" s="5">
        <v>0.10061033744104031</v>
      </c>
      <c r="H29" s="5">
        <v>8.7553987426534238E-2</v>
      </c>
      <c r="I29" s="5">
        <v>6.3878133973997706E-2</v>
      </c>
      <c r="J29" s="5">
        <v>8.833362893032301E-2</v>
      </c>
      <c r="K29" s="5">
        <v>3.1054146261006759E-2</v>
      </c>
      <c r="L29" s="5">
        <v>5.3025654168524915E-2</v>
      </c>
    </row>
    <row r="30" spans="2:12" x14ac:dyDescent="0.2">
      <c r="C30" t="s">
        <v>177</v>
      </c>
      <c r="D30" s="7">
        <v>0.9</v>
      </c>
      <c r="E30" s="7">
        <v>-1.0700698404081168</v>
      </c>
      <c r="F30" s="7">
        <v>-1.3576408105493272</v>
      </c>
      <c r="G30" s="7">
        <v>0.54113930416138234</v>
      </c>
      <c r="H30" s="7">
        <v>-1.4527698106500875</v>
      </c>
      <c r="I30" s="7">
        <v>-0.92801937841308246</v>
      </c>
      <c r="J30" s="7">
        <v>-0.1559576658856926</v>
      </c>
      <c r="K30" s="7">
        <v>-6.7055554615734092E-2</v>
      </c>
      <c r="L30" s="7">
        <v>0.20019389425785658</v>
      </c>
    </row>
    <row r="31" spans="2:12" x14ac:dyDescent="0.2">
      <c r="C31" t="s">
        <v>179</v>
      </c>
      <c r="D31" s="5">
        <v>-1.4500000000000001E-2</v>
      </c>
      <c r="E31" s="5">
        <v>-4.8599999999999997E-2</v>
      </c>
      <c r="F31" s="5">
        <v>-2.4899999999999999E-2</v>
      </c>
      <c r="G31" s="5">
        <v>-6.6500000000000004E-2</v>
      </c>
      <c r="H31" s="5">
        <v>-9.4500000000000015E-2</v>
      </c>
      <c r="I31" s="5">
        <v>-0.1898</v>
      </c>
      <c r="J31" s="5">
        <v>-9.0800000000000006E-2</v>
      </c>
      <c r="K31" s="5">
        <v>-2.5999999999999999E-2</v>
      </c>
      <c r="L31" s="5">
        <v>-4.5600000000000002E-2</v>
      </c>
    </row>
    <row r="34" spans="2:12" x14ac:dyDescent="0.2">
      <c r="C34" t="s">
        <v>3043</v>
      </c>
      <c r="D34" t="s">
        <v>202</v>
      </c>
    </row>
    <row r="35" spans="2:12" x14ac:dyDescent="0.2">
      <c r="B35" t="s">
        <v>3047</v>
      </c>
      <c r="C35" t="s">
        <v>3044</v>
      </c>
      <c r="D35" t="s">
        <v>3045</v>
      </c>
    </row>
    <row r="36" spans="2:12" x14ac:dyDescent="0.2">
      <c r="B36">
        <v>2017</v>
      </c>
      <c r="C36" s="5">
        <v>5.7799999999999997E-2</v>
      </c>
      <c r="D36" s="5">
        <v>4.87E-2</v>
      </c>
      <c r="F36" s="5"/>
      <c r="G36" s="5"/>
      <c r="H36" s="5"/>
      <c r="I36" s="5"/>
      <c r="J36" s="5"/>
      <c r="K36" s="5"/>
      <c r="L36" s="5"/>
    </row>
    <row r="37" spans="2:12" x14ac:dyDescent="0.2">
      <c r="B37">
        <v>2018</v>
      </c>
      <c r="C37" s="19">
        <v>-2.5000000000000001E-2</v>
      </c>
      <c r="D37" s="5">
        <v>-3.9252089420709124E-2</v>
      </c>
      <c r="F37" s="5"/>
      <c r="G37" s="5"/>
      <c r="H37" s="5"/>
      <c r="I37" s="5"/>
      <c r="J37" s="5"/>
      <c r="K37" s="5"/>
      <c r="L37" s="5"/>
    </row>
    <row r="38" spans="2:12" x14ac:dyDescent="0.2">
      <c r="B38">
        <v>2019</v>
      </c>
      <c r="C38" s="5">
        <v>3.5937793848936916E-2</v>
      </c>
      <c r="D38" s="5">
        <v>-5.3328466255463391E-3</v>
      </c>
    </row>
    <row r="39" spans="2:12" x14ac:dyDescent="0.2">
      <c r="B39">
        <v>2020</v>
      </c>
      <c r="C39" s="5">
        <v>-4.3966426100520151E-3</v>
      </c>
      <c r="D39" s="5">
        <v>8.4444207994286424E-2</v>
      </c>
    </row>
    <row r="40" spans="2:12" x14ac:dyDescent="0.2">
      <c r="B40">
        <v>2021</v>
      </c>
      <c r="C40" s="5">
        <v>-9.4219620756028633E-2</v>
      </c>
      <c r="D40" s="5">
        <v>-9.7195789735306293E-2</v>
      </c>
    </row>
    <row r="41" spans="2:12" x14ac:dyDescent="0.2">
      <c r="B41">
        <v>2022</v>
      </c>
      <c r="C41" s="5">
        <v>1.9203803012992626E-3</v>
      </c>
      <c r="D41" s="5">
        <v>-2.9280146184736955E-2</v>
      </c>
    </row>
    <row r="42" spans="2:12" x14ac:dyDescent="0.2">
      <c r="B42">
        <v>2023</v>
      </c>
      <c r="C42" s="5">
        <v>5.8019690855640738E-2</v>
      </c>
      <c r="D42" s="5">
        <v>1.6223693412813933E-2</v>
      </c>
    </row>
    <row r="43" spans="2:12" x14ac:dyDescent="0.2">
      <c r="B43">
        <v>2024</v>
      </c>
      <c r="C43" s="5">
        <v>8.1661201442186915E-3</v>
      </c>
      <c r="D43" s="5">
        <v>2.7917646999350065E-2</v>
      </c>
    </row>
    <row r="44" spans="2:12" x14ac:dyDescent="0.2">
      <c r="B44">
        <v>2025</v>
      </c>
      <c r="C44" s="5">
        <v>0.11054294044757929</v>
      </c>
      <c r="D44" s="5">
        <v>4.0615412203567347E-2</v>
      </c>
    </row>
    <row r="45" spans="2:12" x14ac:dyDescent="0.2">
      <c r="B45" t="s">
        <v>3046</v>
      </c>
      <c r="C45" s="5">
        <f>SUM(C36:C44)</f>
        <v>0.14877066223159424</v>
      </c>
      <c r="D45" s="5">
        <f>SUM(D36:D44)</f>
        <v>4.6840088643719052E-2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D0ED-C12A-8A47-9171-1C03BA307A01}">
  <dimension ref="B1:L86"/>
  <sheetViews>
    <sheetView workbookViewId="0">
      <selection activeCell="F19" sqref="F19"/>
    </sheetView>
  </sheetViews>
  <sheetFormatPr baseColWidth="10" defaultRowHeight="16" x14ac:dyDescent="0.2"/>
  <sheetData>
    <row r="1" spans="2:12" x14ac:dyDescent="0.2">
      <c r="B1" s="20" t="s">
        <v>3078</v>
      </c>
    </row>
    <row r="2" spans="2:12" x14ac:dyDescent="0.2"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  <c r="K2">
        <v>2024</v>
      </c>
      <c r="L2">
        <v>2025</v>
      </c>
    </row>
    <row r="3" spans="2:12" x14ac:dyDescent="0.2">
      <c r="B3" t="s">
        <v>3044</v>
      </c>
      <c r="C3" t="s">
        <v>173</v>
      </c>
      <c r="D3" s="5">
        <v>6.9861738455348377E-2</v>
      </c>
      <c r="E3" s="19">
        <v>-4.3246099077107636E-2</v>
      </c>
      <c r="F3" s="5">
        <v>2.7115636738914928E-2</v>
      </c>
      <c r="G3" s="5">
        <v>6.9400000000000003E-2</v>
      </c>
      <c r="H3" s="5">
        <v>-0.1312918165016268</v>
      </c>
      <c r="I3" s="5">
        <v>-3.5019999750637076E-2</v>
      </c>
      <c r="J3" s="5">
        <v>-3.4006002507865563E-2</v>
      </c>
      <c r="K3" s="19">
        <v>5.0299999999999997E-2</v>
      </c>
      <c r="L3" s="5">
        <v>0.10340000000000001</v>
      </c>
    </row>
    <row r="4" spans="2:12" x14ac:dyDescent="0.2">
      <c r="C4" t="s">
        <v>472</v>
      </c>
      <c r="D4" s="5">
        <v>3.5698268356271337E-2</v>
      </c>
      <c r="E4" s="19">
        <v>7.2247623427411714E-2</v>
      </c>
      <c r="F4" s="5">
        <v>5.3705146189845968E-2</v>
      </c>
      <c r="G4" s="5">
        <v>0.12631819850174905</v>
      </c>
      <c r="H4" s="5">
        <v>7.6218585182832713E-2</v>
      </c>
      <c r="I4" s="5">
        <v>0.14928380536901698</v>
      </c>
      <c r="J4" s="5">
        <v>0.11987294410029614</v>
      </c>
      <c r="K4" s="19">
        <v>7.1099999999999997E-2</v>
      </c>
      <c r="L4" s="5">
        <v>7.1466635572132536E-2</v>
      </c>
    </row>
    <row r="5" spans="2:12" x14ac:dyDescent="0.2">
      <c r="C5" s="5" t="s">
        <v>171</v>
      </c>
      <c r="D5" s="7">
        <v>1.116629469461244</v>
      </c>
      <c r="E5" s="23">
        <v>-1.0138201867733283</v>
      </c>
      <c r="F5" s="7">
        <v>-5.3707390552274817E-2</v>
      </c>
      <c r="G5" s="7">
        <v>0.31209078910645033</v>
      </c>
      <c r="H5" s="7">
        <v>-2.1161743702631175</v>
      </c>
      <c r="I5" s="7">
        <v>-0.43554623751660887</v>
      </c>
      <c r="J5" s="7">
        <v>-0.53394869866808781</v>
      </c>
      <c r="K5" s="23">
        <v>0.28999999999999998</v>
      </c>
      <c r="L5" s="7">
        <v>1.0270526856677908</v>
      </c>
    </row>
    <row r="6" spans="2:12" x14ac:dyDescent="0.2">
      <c r="C6" t="s">
        <v>474</v>
      </c>
      <c r="D6" s="5">
        <v>2.8336054771262702E-2</v>
      </c>
      <c r="E6" s="19">
        <v>2.1984139304334408E-2</v>
      </c>
      <c r="F6" s="5">
        <v>4.4667034824353399E-2</v>
      </c>
      <c r="G6" s="5">
        <v>0.12631819850174905</v>
      </c>
      <c r="H6" s="5">
        <v>6.7528025927864097E-2</v>
      </c>
      <c r="I6" s="5">
        <v>0.10693878622838399</v>
      </c>
      <c r="J6" s="5">
        <v>8.5198239418429314E-2</v>
      </c>
      <c r="K6" s="19">
        <v>5.0900000000000001E-2</v>
      </c>
      <c r="L6" s="5">
        <v>4.0521845959926368E-2</v>
      </c>
    </row>
    <row r="7" spans="2:12" x14ac:dyDescent="0.2">
      <c r="C7" t="s">
        <v>177</v>
      </c>
      <c r="D7" s="7">
        <v>1.4067497672885134</v>
      </c>
      <c r="E7" s="23">
        <v>-3.3317701486119304</v>
      </c>
      <c r="F7" s="7">
        <v>-6.4574764643039531E-2</v>
      </c>
      <c r="G7" s="7">
        <v>0.31209078910645033</v>
      </c>
      <c r="H7" s="7">
        <v>-2.3885166830424542</v>
      </c>
      <c r="I7" s="7">
        <v>-0.60801138711053826</v>
      </c>
      <c r="J7" s="7">
        <v>-0.75125968499790807</v>
      </c>
      <c r="K7" s="23">
        <v>0.4</v>
      </c>
      <c r="L7" s="7">
        <v>1.8113686151560842</v>
      </c>
    </row>
    <row r="8" spans="2:12" x14ac:dyDescent="0.2">
      <c r="C8" t="s">
        <v>179</v>
      </c>
      <c r="D8" s="5">
        <v>-1.3999999999999999E-2</v>
      </c>
      <c r="E8" s="19">
        <v>-3.3999999999999996E-2</v>
      </c>
      <c r="F8" s="5">
        <v>-2.6800000000000001E-2</v>
      </c>
      <c r="G8" s="5">
        <v>-6.0100000000000001E-2</v>
      </c>
      <c r="H8" s="5">
        <v>-4.0000000000000001E-3</v>
      </c>
      <c r="I8" s="5">
        <v>-0.2054</v>
      </c>
      <c r="J8" s="5">
        <v>-9.0200000000000002E-2</v>
      </c>
      <c r="K8" s="19">
        <v>-2.3800000000000002E-2</v>
      </c>
      <c r="L8" s="5">
        <v>-2.7400000000000001E-2</v>
      </c>
    </row>
    <row r="9" spans="2:12" x14ac:dyDescent="0.2">
      <c r="B9" t="s">
        <v>3045</v>
      </c>
      <c r="C9" t="s">
        <v>173</v>
      </c>
      <c r="D9" s="5">
        <v>5.3657924622979358E-2</v>
      </c>
      <c r="E9" s="5">
        <v>-6.2381567336997956E-2</v>
      </c>
      <c r="F9" s="5">
        <v>1.9962811756841115E-2</v>
      </c>
      <c r="G9" s="5">
        <v>0.12620000000000001</v>
      </c>
      <c r="H9" s="5">
        <v>-0.12001970055554889</v>
      </c>
      <c r="I9" s="5">
        <v>-6.5037910211600547E-3</v>
      </c>
      <c r="J9" s="5">
        <v>-7.6513019106518421E-2</v>
      </c>
      <c r="K9" s="5">
        <v>7.7107116453301039E-2</v>
      </c>
      <c r="L9" s="24">
        <v>6.6699999999999995E-2</v>
      </c>
    </row>
    <row r="10" spans="2:12" x14ac:dyDescent="0.2">
      <c r="C10" t="s">
        <v>472</v>
      </c>
      <c r="D10" s="5">
        <v>3.6790957387033918E-2</v>
      </c>
      <c r="E10" s="5">
        <v>7.8774730604542098E-2</v>
      </c>
      <c r="F10" s="5">
        <v>6.0837331541504253E-2</v>
      </c>
      <c r="G10" s="5">
        <v>0.16427675927033508</v>
      </c>
      <c r="H10" s="5">
        <v>6.187973673329434E-2</v>
      </c>
      <c r="I10" s="5">
        <v>0.15559989483520631</v>
      </c>
      <c r="J10" s="5">
        <v>0.14687583810205757</v>
      </c>
      <c r="K10" s="5">
        <v>6.5900441438720134E-2</v>
      </c>
      <c r="L10" s="24">
        <v>7.9289999999999999E-2</v>
      </c>
    </row>
    <row r="11" spans="2:12" x14ac:dyDescent="0.2">
      <c r="C11" s="5" t="s">
        <v>171</v>
      </c>
      <c r="D11" s="7">
        <v>0.64303639544093572</v>
      </c>
      <c r="E11" s="7">
        <v>-1.172730984010135</v>
      </c>
      <c r="F11" s="7">
        <v>-0.164984031824462</v>
      </c>
      <c r="G11" s="7">
        <v>0.58578110107895265</v>
      </c>
      <c r="H11" s="7">
        <v>-2.4243752232195734</v>
      </c>
      <c r="I11" s="7">
        <v>-0.23460035792325382</v>
      </c>
      <c r="J11" s="7">
        <v>-0.72519088560030687</v>
      </c>
      <c r="K11" s="7">
        <v>0.71482247197244142</v>
      </c>
      <c r="L11" s="25">
        <v>0.46200000000000002</v>
      </c>
    </row>
    <row r="12" spans="2:12" x14ac:dyDescent="0.2">
      <c r="C12" t="s">
        <v>474</v>
      </c>
      <c r="D12" s="5">
        <v>2.3356797725715743E-2</v>
      </c>
      <c r="E12" s="5">
        <v>1.8216711323083855E-2</v>
      </c>
      <c r="F12" s="5">
        <v>7.4680117836007726E-2</v>
      </c>
      <c r="G12" s="5">
        <v>8.1323305392734732E-2</v>
      </c>
      <c r="H12" s="5">
        <v>5.0228428205549083E-2</v>
      </c>
      <c r="I12" s="5">
        <v>0.10505701309289162</v>
      </c>
      <c r="J12" s="5">
        <v>0.10750808341701568</v>
      </c>
      <c r="K12" s="5">
        <v>5.4209261201385139E-2</v>
      </c>
      <c r="L12" s="26">
        <v>6.4699999999999994E-2</v>
      </c>
    </row>
    <row r="13" spans="2:12" x14ac:dyDescent="0.2">
      <c r="C13" t="s">
        <v>177</v>
      </c>
      <c r="D13" s="7">
        <v>1.0128924735659321</v>
      </c>
      <c r="E13" s="7">
        <v>-5.0712538448108289</v>
      </c>
      <c r="F13" s="7">
        <v>-0.13440241571658795</v>
      </c>
      <c r="G13" s="7">
        <v>1.183304348763669</v>
      </c>
      <c r="H13" s="7">
        <v>-2.986748857472215</v>
      </c>
      <c r="I13" s="7">
        <v>-0.34746648459235491</v>
      </c>
      <c r="J13" s="7">
        <v>-0.99074428378899215</v>
      </c>
      <c r="K13" s="7">
        <v>0.86898650542939648</v>
      </c>
      <c r="L13" s="27">
        <v>0.56999999999999995</v>
      </c>
    </row>
    <row r="14" spans="2:12" x14ac:dyDescent="0.2">
      <c r="C14" t="s">
        <v>179</v>
      </c>
      <c r="D14" s="5">
        <v>-1.3299999999999999E-2</v>
      </c>
      <c r="E14" s="5">
        <v>-3.1799999999999995E-2</v>
      </c>
      <c r="F14" s="5">
        <v>-4.3400000000000001E-2</v>
      </c>
      <c r="G14" s="5">
        <v>-6.0100000000000001E-2</v>
      </c>
      <c r="H14" s="5">
        <v>-2E-3</v>
      </c>
      <c r="I14" s="5">
        <v>-0.20039999999999999</v>
      </c>
      <c r="J14" s="5">
        <v>-0.13599999999999998</v>
      </c>
      <c r="K14" s="5">
        <v>-2.0400000000000001E-2</v>
      </c>
      <c r="L14" s="26">
        <v>-3.9199999999999999E-2</v>
      </c>
    </row>
    <row r="17" spans="2:12" x14ac:dyDescent="0.2">
      <c r="C17" t="s">
        <v>3043</v>
      </c>
      <c r="D17" t="s">
        <v>202</v>
      </c>
    </row>
    <row r="18" spans="2:12" x14ac:dyDescent="0.2">
      <c r="B18" t="s">
        <v>3047</v>
      </c>
      <c r="C18" t="s">
        <v>3044</v>
      </c>
      <c r="D18" t="s">
        <v>3045</v>
      </c>
    </row>
    <row r="19" spans="2:12" x14ac:dyDescent="0.2">
      <c r="B19">
        <v>2017</v>
      </c>
      <c r="C19" s="5">
        <f>D3</f>
        <v>6.9861738455348377E-2</v>
      </c>
      <c r="D19" s="5">
        <f>D9</f>
        <v>5.3657924622979358E-2</v>
      </c>
      <c r="F19" s="5"/>
      <c r="G19" s="5"/>
      <c r="H19" s="5"/>
      <c r="I19" s="5"/>
      <c r="J19" s="5"/>
      <c r="K19" s="5"/>
      <c r="L19" s="5"/>
    </row>
    <row r="20" spans="2:12" x14ac:dyDescent="0.2">
      <c r="B20">
        <v>2018</v>
      </c>
      <c r="C20" s="19">
        <f>E3</f>
        <v>-4.3246099077107636E-2</v>
      </c>
      <c r="D20" s="5">
        <f>E9</f>
        <v>-6.2381567336997956E-2</v>
      </c>
      <c r="F20" s="5"/>
      <c r="G20" s="5"/>
      <c r="H20" s="5"/>
      <c r="I20" s="5"/>
      <c r="J20" s="5"/>
      <c r="K20" s="5"/>
      <c r="L20" s="5"/>
    </row>
    <row r="21" spans="2:12" x14ac:dyDescent="0.2">
      <c r="B21">
        <v>2019</v>
      </c>
      <c r="C21" s="5">
        <f>F3</f>
        <v>2.7115636738914928E-2</v>
      </c>
      <c r="D21" s="5">
        <f>F9</f>
        <v>1.9962811756841115E-2</v>
      </c>
    </row>
    <row r="22" spans="2:12" x14ac:dyDescent="0.2">
      <c r="B22">
        <v>2020</v>
      </c>
      <c r="C22" s="5">
        <f>G3</f>
        <v>6.9400000000000003E-2</v>
      </c>
      <c r="D22" s="5">
        <f>G9</f>
        <v>0.12620000000000001</v>
      </c>
    </row>
    <row r="23" spans="2:12" x14ac:dyDescent="0.2">
      <c r="B23">
        <v>2021</v>
      </c>
      <c r="C23" s="5">
        <f>H3</f>
        <v>-0.1312918165016268</v>
      </c>
      <c r="D23" s="5">
        <f>H9</f>
        <v>-0.12001970055554889</v>
      </c>
    </row>
    <row r="24" spans="2:12" x14ac:dyDescent="0.2">
      <c r="B24">
        <v>2022</v>
      </c>
      <c r="C24" s="5">
        <f>I3</f>
        <v>-3.5019999750637076E-2</v>
      </c>
      <c r="D24" s="5">
        <f>I9</f>
        <v>-6.5037910211600547E-3</v>
      </c>
    </row>
    <row r="25" spans="2:12" x14ac:dyDescent="0.2">
      <c r="B25">
        <v>2023</v>
      </c>
      <c r="C25" s="5">
        <f>J3</f>
        <v>-3.4006002507865563E-2</v>
      </c>
      <c r="D25" s="5">
        <f>J9</f>
        <v>-7.6513019106518421E-2</v>
      </c>
    </row>
    <row r="26" spans="2:12" x14ac:dyDescent="0.2">
      <c r="B26">
        <v>2024</v>
      </c>
      <c r="C26" s="5">
        <f>K3</f>
        <v>5.0299999999999997E-2</v>
      </c>
      <c r="D26" s="5">
        <f>K9</f>
        <v>7.7107116453301039E-2</v>
      </c>
    </row>
    <row r="27" spans="2:12" x14ac:dyDescent="0.2">
      <c r="B27">
        <v>2025</v>
      </c>
      <c r="C27" s="5">
        <f>L3</f>
        <v>0.10340000000000001</v>
      </c>
      <c r="D27" s="5">
        <f>L9</f>
        <v>6.6699999999999995E-2</v>
      </c>
    </row>
    <row r="28" spans="2:12" x14ac:dyDescent="0.2">
      <c r="B28" t="s">
        <v>3046</v>
      </c>
      <c r="C28" s="5">
        <f>SUM(C19:C27)</f>
        <v>7.6513457357026235E-2</v>
      </c>
      <c r="D28" s="5">
        <f>SUM(D19:D27)</f>
        <v>7.8209774812896191E-2</v>
      </c>
    </row>
    <row r="30" spans="2:12" x14ac:dyDescent="0.2">
      <c r="B30" s="20" t="s">
        <v>3079</v>
      </c>
    </row>
    <row r="31" spans="2:12" x14ac:dyDescent="0.2">
      <c r="D31">
        <v>2017</v>
      </c>
      <c r="E31">
        <v>2018</v>
      </c>
      <c r="F31">
        <v>2019</v>
      </c>
      <c r="G31">
        <v>2020</v>
      </c>
      <c r="H31">
        <v>2021</v>
      </c>
      <c r="I31">
        <v>2022</v>
      </c>
      <c r="J31">
        <v>2023</v>
      </c>
      <c r="K31">
        <v>2024</v>
      </c>
      <c r="L31">
        <v>2025</v>
      </c>
    </row>
    <row r="32" spans="2:12" x14ac:dyDescent="0.2">
      <c r="B32" t="s">
        <v>3044</v>
      </c>
      <c r="C32" t="s">
        <v>173</v>
      </c>
      <c r="D32" s="5">
        <v>4.7186924530885799E-2</v>
      </c>
      <c r="E32" s="19">
        <v>-4.7937647273732953E-2</v>
      </c>
      <c r="F32" s="5">
        <v>1.9406233764297509E-2</v>
      </c>
      <c r="G32" s="5">
        <v>2.1399999999999999E-2</v>
      </c>
      <c r="H32" s="5">
        <v>-0.10628825610817705</v>
      </c>
      <c r="I32" s="5">
        <v>-0.12229790127521023</v>
      </c>
      <c r="J32" s="5">
        <v>5.8019690855640738E-2</v>
      </c>
      <c r="K32" s="19">
        <v>-6.0716225270041058E-4</v>
      </c>
      <c r="L32" s="24">
        <v>0.1128</v>
      </c>
    </row>
    <row r="33" spans="2:12" x14ac:dyDescent="0.2">
      <c r="C33" t="s">
        <v>472</v>
      </c>
      <c r="D33" s="5">
        <v>3.3272579483029946E-2</v>
      </c>
      <c r="E33" s="19">
        <v>6.4458379806451291E-2</v>
      </c>
      <c r="F33" s="5">
        <v>5.2547424467635113E-2</v>
      </c>
      <c r="G33" s="5">
        <v>0.12657038286337691</v>
      </c>
      <c r="H33" s="5">
        <v>6.8376464584613536E-2</v>
      </c>
      <c r="I33" s="5">
        <v>0.13382269137658503</v>
      </c>
      <c r="J33" s="5">
        <v>0.11497058912450768</v>
      </c>
      <c r="K33" s="19">
        <v>8.3002185075290197E-2</v>
      </c>
      <c r="L33" s="24">
        <v>8.029E-2</v>
      </c>
    </row>
    <row r="34" spans="2:12" x14ac:dyDescent="0.2">
      <c r="C34" s="5" t="s">
        <v>171</v>
      </c>
      <c r="D34" s="7">
        <v>0.51654920652159442</v>
      </c>
      <c r="E34" s="23">
        <v>-1.2091158280390504</v>
      </c>
      <c r="F34" s="7">
        <v>-0.20160391004943309</v>
      </c>
      <c r="G34" s="7">
        <v>-6.7859800220590946E-2</v>
      </c>
      <c r="H34" s="7">
        <v>-1.99320419586077</v>
      </c>
      <c r="I34" s="7">
        <v>-1.1380573780767482</v>
      </c>
      <c r="J34" s="7">
        <v>0.2437118142040374</v>
      </c>
      <c r="K34" s="23">
        <v>-0.36875128317329298</v>
      </c>
      <c r="L34" s="25">
        <v>1.0309999999999999</v>
      </c>
    </row>
    <row r="35" spans="2:12" x14ac:dyDescent="0.2">
      <c r="C35" t="s">
        <v>474</v>
      </c>
      <c r="D35" s="5">
        <v>1.512712794948202E-2</v>
      </c>
      <c r="E35" s="19">
        <v>5.684607286347932E-2</v>
      </c>
      <c r="F35" s="5">
        <v>3.2915892817907876E-2</v>
      </c>
      <c r="G35" s="5">
        <v>9.6146762816019957E-2</v>
      </c>
      <c r="H35" s="5">
        <v>4.4839380013555044E-2</v>
      </c>
      <c r="I35" s="5">
        <v>0.10318358396566772</v>
      </c>
      <c r="J35" s="5">
        <v>7.6790819763823348E-2</v>
      </c>
      <c r="K35" s="19">
        <v>1.8517482087398986E-2</v>
      </c>
      <c r="L35" s="26">
        <v>5.5399999999999998E-2</v>
      </c>
    </row>
    <row r="36" spans="2:12" x14ac:dyDescent="0.2">
      <c r="C36" t="s">
        <v>177</v>
      </c>
      <c r="D36" s="7">
        <v>1.1361657406668733</v>
      </c>
      <c r="E36" s="23">
        <v>-1.3710295777319015</v>
      </c>
      <c r="F36" s="7">
        <v>-0.32184350259941774</v>
      </c>
      <c r="G36" s="7">
        <v>-8.9332606146999269E-2</v>
      </c>
      <c r="H36" s="7">
        <v>-3.0394768185237351</v>
      </c>
      <c r="I36" s="7">
        <v>-1.4759896431382371</v>
      </c>
      <c r="J36" s="7">
        <v>0.36488334076674356</v>
      </c>
      <c r="K36" s="23">
        <v>-1.6528792688034171</v>
      </c>
      <c r="L36" s="27">
        <v>1.49</v>
      </c>
    </row>
    <row r="37" spans="2:12" x14ac:dyDescent="0.2">
      <c r="C37" t="s">
        <v>179</v>
      </c>
      <c r="D37" s="5">
        <v>-1.8200000000000001E-2</v>
      </c>
      <c r="E37" s="19">
        <v>-3.5400000000000001E-2</v>
      </c>
      <c r="F37" s="5">
        <v>-4.7E-2</v>
      </c>
      <c r="G37" s="5">
        <v>-7.5300000000000006E-2</v>
      </c>
      <c r="H37" s="5">
        <v>-0.1168</v>
      </c>
      <c r="I37" s="5">
        <v>-0.19859999999999997</v>
      </c>
      <c r="J37" s="5">
        <v>-8.9899999999999994E-2</v>
      </c>
      <c r="K37" s="19">
        <v>-2.52E-2</v>
      </c>
      <c r="L37" s="26">
        <v>-3.85E-2</v>
      </c>
    </row>
    <row r="38" spans="2:12" x14ac:dyDescent="0.2">
      <c r="B38" t="s">
        <v>3045</v>
      </c>
      <c r="C38" t="s">
        <v>173</v>
      </c>
      <c r="D38" s="5">
        <v>4.8714871795984882E-2</v>
      </c>
      <c r="E38" s="5">
        <v>-3.2478763432135183E-2</v>
      </c>
      <c r="F38" s="5">
        <v>-1.9788167520233824E-3</v>
      </c>
      <c r="G38" s="5">
        <v>8.4400000000000003E-2</v>
      </c>
      <c r="H38" s="5">
        <v>-0.10424406847934331</v>
      </c>
      <c r="I38" s="5">
        <v>-2.9672594073888003E-2</v>
      </c>
      <c r="J38" s="5">
        <v>1.6223693412813933E-2</v>
      </c>
      <c r="K38" s="5">
        <v>2.7813837905530603E-2</v>
      </c>
      <c r="L38" s="24">
        <v>4.0599999999999997E-2</v>
      </c>
    </row>
    <row r="39" spans="2:12" x14ac:dyDescent="0.2">
      <c r="C39" t="s">
        <v>472</v>
      </c>
      <c r="D39" s="5">
        <v>3.7414083396010607E-2</v>
      </c>
      <c r="E39" s="5">
        <v>7.1640694377630723E-2</v>
      </c>
      <c r="F39" s="5">
        <v>3.8434205882497186E-2</v>
      </c>
      <c r="G39" s="5">
        <v>0.13140489474763245</v>
      </c>
      <c r="H39" s="5">
        <v>7.961623863600599E-2</v>
      </c>
      <c r="I39" s="5">
        <v>0.14429506386063751</v>
      </c>
      <c r="J39" s="5">
        <v>0.11175571980480868</v>
      </c>
      <c r="K39" s="5">
        <v>5.1952592025632537E-2</v>
      </c>
      <c r="L39" s="24">
        <v>9.3299454348984179E-2</v>
      </c>
    </row>
    <row r="40" spans="2:12" x14ac:dyDescent="0.2">
      <c r="C40" s="5" t="s">
        <v>171</v>
      </c>
      <c r="D40" s="7">
        <v>0.50020928210098592</v>
      </c>
      <c r="E40" s="7">
        <v>-0.87211275623319073</v>
      </c>
      <c r="F40" s="7">
        <v>-0.83204052269976603</v>
      </c>
      <c r="G40" s="7">
        <v>0.41432404857405325</v>
      </c>
      <c r="H40" s="7">
        <v>-1.6861392949381584</v>
      </c>
      <c r="I40" s="7">
        <v>-0.41354563681763051</v>
      </c>
      <c r="J40" s="7">
        <v>-0.12327160176899771</v>
      </c>
      <c r="K40" s="7">
        <v>-4.2079942679102138E-2</v>
      </c>
      <c r="L40" s="25">
        <v>0.11377785944878815</v>
      </c>
    </row>
    <row r="41" spans="2:12" x14ac:dyDescent="0.2">
      <c r="C41" t="s">
        <v>474</v>
      </c>
      <c r="D41" s="5">
        <v>2.0706279240848658E-2</v>
      </c>
      <c r="E41" s="5">
        <v>6.2738473044855025E-2</v>
      </c>
      <c r="F41" s="5">
        <v>3.0985222284179281E-2</v>
      </c>
      <c r="G41" s="5">
        <v>0.10061033744104031</v>
      </c>
      <c r="H41" s="5">
        <v>7.6319965558542702E-2</v>
      </c>
      <c r="I41" s="5">
        <v>6.3503322747711394E-2</v>
      </c>
      <c r="J41" s="5">
        <v>8.833362893032301E-2</v>
      </c>
      <c r="K41" s="5">
        <v>3.0999838709257828E-2</v>
      </c>
      <c r="L41" s="26">
        <v>6.9922457050650047E-2</v>
      </c>
    </row>
    <row r="42" spans="2:12" x14ac:dyDescent="0.2">
      <c r="C42" t="s">
        <v>177</v>
      </c>
      <c r="D42" s="7">
        <v>0.90382591571859072</v>
      </c>
      <c r="E42" s="7">
        <v>-0.99586044096842841</v>
      </c>
      <c r="F42" s="7">
        <v>-1.0320667206686918</v>
      </c>
      <c r="G42" s="7">
        <v>0.54113930416138234</v>
      </c>
      <c r="H42" s="7">
        <v>-1.7589639551968719</v>
      </c>
      <c r="I42" s="7">
        <v>-0.93967672071204422</v>
      </c>
      <c r="J42" s="7">
        <v>-0.1559576658856926</v>
      </c>
      <c r="K42" s="7">
        <v>-7.0521724805507391E-2</v>
      </c>
      <c r="L42" s="27">
        <v>0.15181692193507751</v>
      </c>
    </row>
    <row r="43" spans="2:12" x14ac:dyDescent="0.2">
      <c r="C43" t="s">
        <v>179</v>
      </c>
      <c r="D43" s="5">
        <v>-1.4499999999999999E-2</v>
      </c>
      <c r="E43" s="5">
        <v>-4.8599999999999997E-2</v>
      </c>
      <c r="F43" s="5">
        <v>-2.4899999999999999E-2</v>
      </c>
      <c r="G43" s="5">
        <v>-6.5700000000000008E-2</v>
      </c>
      <c r="H43" s="5">
        <v>-9.4500000000000015E-2</v>
      </c>
      <c r="I43" s="5">
        <v>-0.19019999999999998</v>
      </c>
      <c r="J43" s="5">
        <v>-9.0800000000000006E-2</v>
      </c>
      <c r="K43" s="5">
        <v>-2.5999999999999999E-2</v>
      </c>
      <c r="L43" s="26">
        <v>-4.5600000000000002E-2</v>
      </c>
    </row>
    <row r="46" spans="2:12" x14ac:dyDescent="0.2">
      <c r="C46" t="s">
        <v>3043</v>
      </c>
      <c r="D46" t="s">
        <v>202</v>
      </c>
    </row>
    <row r="47" spans="2:12" x14ac:dyDescent="0.2">
      <c r="B47" t="s">
        <v>3047</v>
      </c>
      <c r="C47" t="s">
        <v>3044</v>
      </c>
      <c r="D47" t="s">
        <v>3045</v>
      </c>
    </row>
    <row r="48" spans="2:12" x14ac:dyDescent="0.2">
      <c r="B48">
        <v>2017</v>
      </c>
      <c r="C48" s="5">
        <f>D32</f>
        <v>4.7186924530885799E-2</v>
      </c>
      <c r="D48" s="5">
        <f>D38</f>
        <v>4.8714871795984882E-2</v>
      </c>
      <c r="F48" s="5"/>
      <c r="G48" s="5"/>
      <c r="H48" s="5"/>
      <c r="I48" s="5"/>
      <c r="J48" s="5"/>
      <c r="K48" s="5"/>
      <c r="L48" s="5"/>
    </row>
    <row r="49" spans="2:12" x14ac:dyDescent="0.2">
      <c r="B49">
        <v>2018</v>
      </c>
      <c r="C49" s="19">
        <f>E32</f>
        <v>-4.7937647273732953E-2</v>
      </c>
      <c r="D49" s="5">
        <f>E38</f>
        <v>-3.2478763432135183E-2</v>
      </c>
      <c r="F49" s="5"/>
      <c r="G49" s="5"/>
      <c r="H49" s="5"/>
      <c r="I49" s="5"/>
      <c r="J49" s="5"/>
      <c r="K49" s="5"/>
      <c r="L49" s="5"/>
    </row>
    <row r="50" spans="2:12" x14ac:dyDescent="0.2">
      <c r="B50">
        <v>2019</v>
      </c>
      <c r="C50" s="5">
        <f>F32</f>
        <v>1.9406233764297509E-2</v>
      </c>
      <c r="D50" s="5">
        <f>F38</f>
        <v>-1.9788167520233824E-3</v>
      </c>
    </row>
    <row r="51" spans="2:12" x14ac:dyDescent="0.2">
      <c r="B51">
        <v>2020</v>
      </c>
      <c r="C51" s="5">
        <f>G32</f>
        <v>2.1399999999999999E-2</v>
      </c>
      <c r="D51" s="5">
        <f>G38</f>
        <v>8.4400000000000003E-2</v>
      </c>
    </row>
    <row r="52" spans="2:12" x14ac:dyDescent="0.2">
      <c r="B52">
        <v>2021</v>
      </c>
      <c r="C52" s="5">
        <f>H32</f>
        <v>-0.10628825610817705</v>
      </c>
      <c r="D52" s="5">
        <f>H38</f>
        <v>-0.10424406847934331</v>
      </c>
    </row>
    <row r="53" spans="2:12" x14ac:dyDescent="0.2">
      <c r="B53">
        <v>2022</v>
      </c>
      <c r="C53" s="5">
        <f>I32</f>
        <v>-0.12229790127521023</v>
      </c>
      <c r="D53" s="5">
        <f>I38</f>
        <v>-2.9672594073888003E-2</v>
      </c>
    </row>
    <row r="54" spans="2:12" x14ac:dyDescent="0.2">
      <c r="B54">
        <v>2023</v>
      </c>
      <c r="C54" s="5">
        <f>J32</f>
        <v>5.8019690855640738E-2</v>
      </c>
      <c r="D54" s="5">
        <f>J38</f>
        <v>1.6223693412813933E-2</v>
      </c>
    </row>
    <row r="55" spans="2:12" x14ac:dyDescent="0.2">
      <c r="B55">
        <v>2024</v>
      </c>
      <c r="C55" s="5">
        <f>K32</f>
        <v>-6.0716225270041058E-4</v>
      </c>
      <c r="D55" s="5">
        <f>K38</f>
        <v>2.7813837905530603E-2</v>
      </c>
    </row>
    <row r="56" spans="2:12" x14ac:dyDescent="0.2">
      <c r="B56">
        <v>2025</v>
      </c>
      <c r="C56" s="5">
        <f>L32</f>
        <v>0.1128</v>
      </c>
      <c r="D56" s="5">
        <f>L38</f>
        <v>4.0599999999999997E-2</v>
      </c>
    </row>
    <row r="57" spans="2:12" x14ac:dyDescent="0.2">
      <c r="B57" t="s">
        <v>3046</v>
      </c>
      <c r="C57" s="5">
        <f>SUM(C48:C56)</f>
        <v>-1.8318117758996597E-2</v>
      </c>
      <c r="D57" s="5">
        <f>SUM(D48:D56)</f>
        <v>4.9378160376939539E-2</v>
      </c>
    </row>
    <row r="59" spans="2:12" x14ac:dyDescent="0.2">
      <c r="B59" s="20" t="s">
        <v>3080</v>
      </c>
    </row>
    <row r="60" spans="2:12" x14ac:dyDescent="0.2">
      <c r="D60">
        <v>2017</v>
      </c>
      <c r="E60">
        <v>2018</v>
      </c>
      <c r="F60">
        <v>2019</v>
      </c>
      <c r="G60">
        <v>2020</v>
      </c>
      <c r="H60">
        <v>2021</v>
      </c>
      <c r="I60">
        <v>2022</v>
      </c>
      <c r="J60">
        <v>2023</v>
      </c>
      <c r="K60">
        <v>2024</v>
      </c>
      <c r="L60">
        <v>2025</v>
      </c>
    </row>
    <row r="61" spans="2:12" x14ac:dyDescent="0.2">
      <c r="B61" t="s">
        <v>3044</v>
      </c>
      <c r="C61" t="s">
        <v>173</v>
      </c>
      <c r="D61" s="5">
        <v>2.609207656343604E-2</v>
      </c>
      <c r="E61" s="19">
        <v>-2.3857029196276303E-2</v>
      </c>
      <c r="F61" s="19">
        <v>2.7199999999999998E-2</v>
      </c>
      <c r="G61" s="5">
        <v>1.12E-2</v>
      </c>
      <c r="H61" s="5">
        <v>-9.6115489253506992E-2</v>
      </c>
      <c r="I61" s="5">
        <v>-1.7174055252307863E-2</v>
      </c>
      <c r="J61" s="5">
        <v>-3.5776921905652737E-2</v>
      </c>
      <c r="K61" s="19">
        <v>3.1754495947638794E-2</v>
      </c>
      <c r="L61" s="24">
        <v>0.121</v>
      </c>
    </row>
    <row r="62" spans="2:12" x14ac:dyDescent="0.2">
      <c r="C62" t="s">
        <v>472</v>
      </c>
      <c r="D62" s="5">
        <v>4.2186555376629818E-2</v>
      </c>
      <c r="E62" s="19">
        <v>5.9232385183659912E-2</v>
      </c>
      <c r="F62" s="19">
        <v>5.2900000000000003E-2</v>
      </c>
      <c r="G62" s="5">
        <v>0.13671883224672848</v>
      </c>
      <c r="H62" s="5">
        <v>6.4834523631669055E-2</v>
      </c>
      <c r="I62" s="5">
        <v>0.12090189486446512</v>
      </c>
      <c r="J62" s="5">
        <v>0.13983211687266595</v>
      </c>
      <c r="K62" s="19">
        <v>8.791264259065773E-2</v>
      </c>
      <c r="L62" s="24">
        <v>8.0236802936399107E-2</v>
      </c>
    </row>
    <row r="63" spans="2:12" x14ac:dyDescent="0.2">
      <c r="C63" s="5" t="s">
        <v>171</v>
      </c>
      <c r="D63" s="7">
        <v>-9.2634333419145204E-2</v>
      </c>
      <c r="E63" s="23">
        <v>-0.90924971245516417</v>
      </c>
      <c r="F63" s="23">
        <v>-0.05</v>
      </c>
      <c r="G63" s="7">
        <v>-0.13749491109987708</v>
      </c>
      <c r="H63" s="7">
        <v>-1.9451903428793706</v>
      </c>
      <c r="I63" s="7">
        <v>-0.39018458151703478</v>
      </c>
      <c r="J63" s="7">
        <v>-0.47039924286886525</v>
      </c>
      <c r="K63" s="23">
        <v>1.9957265484648753E-2</v>
      </c>
      <c r="L63" s="25">
        <v>1.1340450254170429</v>
      </c>
    </row>
    <row r="64" spans="2:12" x14ac:dyDescent="0.2">
      <c r="C64" t="s">
        <v>474</v>
      </c>
      <c r="D64" s="5">
        <v>1.7784262706111827E-2</v>
      </c>
      <c r="E64" s="19">
        <v>5.2816133898648809E-2</v>
      </c>
      <c r="F64" s="19">
        <v>2.9399999999999999E-2</v>
      </c>
      <c r="G64" s="5">
        <v>0.11797910832007504</v>
      </c>
      <c r="H64" s="5">
        <v>4.0497592521037594E-2</v>
      </c>
      <c r="I64" s="5">
        <v>9.0098412860604826E-2</v>
      </c>
      <c r="J64" s="5">
        <v>0.10214910670191882</v>
      </c>
      <c r="K64" s="19">
        <v>3.3305254840640404E-2</v>
      </c>
      <c r="L64" s="26">
        <v>5.971231028858287E-2</v>
      </c>
    </row>
    <row r="65" spans="2:12" x14ac:dyDescent="0.2">
      <c r="C65" t="s">
        <v>177</v>
      </c>
      <c r="D65" s="7">
        <v>-0.2197405369647932</v>
      </c>
      <c r="E65" s="23">
        <v>-1.0197079040208605</v>
      </c>
      <c r="F65" s="23">
        <v>-0.1</v>
      </c>
      <c r="G65" s="7">
        <v>-0.15933451229724455</v>
      </c>
      <c r="H65" s="7">
        <v>-3.1141478147865906</v>
      </c>
      <c r="I65" s="7">
        <v>-0.52358364320238238</v>
      </c>
      <c r="J65" s="7">
        <v>-0.64393046625063777</v>
      </c>
      <c r="K65" s="23">
        <v>5.2679253049818714E-2</v>
      </c>
      <c r="L65" s="27">
        <v>1.52384234985443</v>
      </c>
    </row>
    <row r="66" spans="2:12" x14ac:dyDescent="0.2">
      <c r="C66" t="s">
        <v>179</v>
      </c>
      <c r="D66" s="5">
        <v>-2.1600000000000001E-2</v>
      </c>
      <c r="E66" s="19">
        <v>-2.5000000000000001E-2</v>
      </c>
      <c r="F66" s="19">
        <v>2.2000000000000001E-3</v>
      </c>
      <c r="G66" s="5">
        <v>-7.8800000000000009E-2</v>
      </c>
      <c r="H66" s="5">
        <v>-8.7300000000000003E-2</v>
      </c>
      <c r="I66" s="5">
        <v>-7.6300000000000007E-2</v>
      </c>
      <c r="J66" s="5">
        <v>-0.1406</v>
      </c>
      <c r="K66" s="19">
        <v>-6.0299999999999992E-2</v>
      </c>
      <c r="L66" s="26">
        <v>-3.85E-2</v>
      </c>
    </row>
    <row r="67" spans="2:12" x14ac:dyDescent="0.2">
      <c r="B67" t="s">
        <v>3045</v>
      </c>
      <c r="C67" t="s">
        <v>173</v>
      </c>
      <c r="D67" s="28">
        <v>4.4484007080500376E-2</v>
      </c>
      <c r="E67" s="5">
        <v>-4.3703132213200657E-2</v>
      </c>
      <c r="F67" s="19">
        <v>-4.7356282806803041E-3</v>
      </c>
      <c r="G67" s="5">
        <v>7.8399999999999997E-2</v>
      </c>
      <c r="H67" s="5">
        <v>-0.10968641029435933</v>
      </c>
      <c r="I67" s="5">
        <v>-2.501101174910958E-2</v>
      </c>
      <c r="J67" s="5">
        <v>-3.8215744338961133E-2</v>
      </c>
      <c r="K67" s="5">
        <v>3.1754495947638794E-2</v>
      </c>
      <c r="L67" s="24">
        <v>3.8699999999999998E-2</v>
      </c>
    </row>
    <row r="68" spans="2:12" x14ac:dyDescent="0.2">
      <c r="C68" t="s">
        <v>472</v>
      </c>
      <c r="D68" s="28">
        <v>3.9050584910064814E-2</v>
      </c>
      <c r="E68" s="5">
        <v>7.2145282716071027E-2</v>
      </c>
      <c r="F68" s="5">
        <v>3.7431379640859908E-2</v>
      </c>
      <c r="G68" s="5">
        <v>0.13068621684296808</v>
      </c>
      <c r="H68" s="5">
        <v>7.87685851085317E-2</v>
      </c>
      <c r="I68" s="5">
        <v>0.14294693230197508</v>
      </c>
      <c r="J68" s="5">
        <v>0.13547018122081331</v>
      </c>
      <c r="K68" s="5">
        <v>8.791264259065773E-2</v>
      </c>
      <c r="L68" s="24">
        <v>9.3754704124404037E-2</v>
      </c>
    </row>
    <row r="69" spans="2:12" x14ac:dyDescent="0.2">
      <c r="C69" s="5" t="s">
        <v>171</v>
      </c>
      <c r="D69" s="29">
        <v>0.37090371665002386</v>
      </c>
      <c r="E69" s="7">
        <v>-1.0215932274222359</v>
      </c>
      <c r="F69" s="7">
        <v>-0.92798151214183577</v>
      </c>
      <c r="G69" s="7">
        <v>0.37046612748966556</v>
      </c>
      <c r="H69" s="7">
        <v>-1.7733771668221752</v>
      </c>
      <c r="I69" s="7">
        <v>-0.38483520326899312</v>
      </c>
      <c r="J69" s="7">
        <v>-0.5035480407881866</v>
      </c>
      <c r="K69" s="7">
        <v>1.9957265484648753E-2</v>
      </c>
      <c r="L69" s="25">
        <v>9.2896919163338365E-2</v>
      </c>
    </row>
    <row r="70" spans="2:12" x14ac:dyDescent="0.2">
      <c r="C70" t="s">
        <v>474</v>
      </c>
      <c r="D70" s="28">
        <v>2.3908994123551075E-2</v>
      </c>
      <c r="E70" s="5">
        <v>5.7771584710824754E-2</v>
      </c>
      <c r="F70" s="5">
        <v>3.1558517075426708E-2</v>
      </c>
      <c r="G70" s="5">
        <v>0.10061033744104031</v>
      </c>
      <c r="H70" s="5">
        <v>7.4540866068792858E-2</v>
      </c>
      <c r="I70" s="5">
        <v>6.2664695004444076E-2</v>
      </c>
      <c r="J70" s="5">
        <v>0.10698013834352611</v>
      </c>
      <c r="K70" s="5">
        <v>3.3305254840640404E-2</v>
      </c>
      <c r="L70" s="26">
        <v>6.8999927536193828E-2</v>
      </c>
    </row>
    <row r="71" spans="2:12" x14ac:dyDescent="0.2">
      <c r="C71" t="s">
        <v>177</v>
      </c>
      <c r="D71" s="29">
        <v>0.60579742525567803</v>
      </c>
      <c r="E71" s="7">
        <v>-1.2757678810806583</v>
      </c>
      <c r="F71" s="7">
        <v>-1.1006736532537353</v>
      </c>
      <c r="G71" s="7">
        <v>0.48121115485236449</v>
      </c>
      <c r="H71" s="7">
        <v>-1.87395743652139</v>
      </c>
      <c r="I71" s="7">
        <v>-0.87786291380191495</v>
      </c>
      <c r="J71" s="7">
        <v>-0.63764868315941192</v>
      </c>
      <c r="K71" s="7">
        <v>5.2679253049818714E-2</v>
      </c>
      <c r="L71" s="27">
        <v>0.12622510604317516</v>
      </c>
    </row>
    <row r="72" spans="2:12" x14ac:dyDescent="0.2">
      <c r="C72" t="s">
        <v>179</v>
      </c>
      <c r="D72" s="28">
        <v>-1.78E-2</v>
      </c>
      <c r="E72" s="5">
        <v>-4.8599999999999997E-2</v>
      </c>
      <c r="F72" s="5">
        <v>-2.4899999999999999E-2</v>
      </c>
      <c r="G72" s="5">
        <v>-6.5700000000000008E-2</v>
      </c>
      <c r="H72" s="5">
        <v>-9.4500000000000015E-2</v>
      </c>
      <c r="I72" s="5">
        <v>-5.4699999999999999E-2</v>
      </c>
      <c r="J72" s="5">
        <v>-0.14500000000000002</v>
      </c>
      <c r="K72" s="5">
        <v>-6.0299999999999992E-2</v>
      </c>
      <c r="L72" s="26">
        <v>-4.5600000000000002E-2</v>
      </c>
    </row>
    <row r="73" spans="2:12" x14ac:dyDescent="0.2">
      <c r="D73" s="30"/>
    </row>
    <row r="75" spans="2:12" x14ac:dyDescent="0.2">
      <c r="C75" t="s">
        <v>3043</v>
      </c>
      <c r="D75" t="s">
        <v>202</v>
      </c>
    </row>
    <row r="76" spans="2:12" x14ac:dyDescent="0.2">
      <c r="B76" t="s">
        <v>3047</v>
      </c>
      <c r="C76" t="s">
        <v>3044</v>
      </c>
      <c r="D76" t="s">
        <v>3045</v>
      </c>
    </row>
    <row r="77" spans="2:12" x14ac:dyDescent="0.2">
      <c r="B77">
        <v>2017</v>
      </c>
      <c r="C77" s="5">
        <f>D61</f>
        <v>2.609207656343604E-2</v>
      </c>
      <c r="D77" s="5">
        <f>D67</f>
        <v>4.4484007080500376E-2</v>
      </c>
      <c r="F77" s="5"/>
      <c r="G77" s="5"/>
      <c r="H77" s="5"/>
      <c r="I77" s="5"/>
      <c r="J77" s="5"/>
      <c r="K77" s="5"/>
      <c r="L77" s="5"/>
    </row>
    <row r="78" spans="2:12" x14ac:dyDescent="0.2">
      <c r="B78">
        <v>2018</v>
      </c>
      <c r="C78" s="19">
        <f>E61</f>
        <v>-2.3857029196276303E-2</v>
      </c>
      <c r="D78" s="5">
        <f>E67</f>
        <v>-4.3703132213200657E-2</v>
      </c>
      <c r="F78" s="5"/>
      <c r="G78" s="5"/>
      <c r="H78" s="5"/>
      <c r="I78" s="5"/>
      <c r="J78" s="5"/>
      <c r="K78" s="5"/>
      <c r="L78" s="5"/>
    </row>
    <row r="79" spans="2:12" x14ac:dyDescent="0.2">
      <c r="B79">
        <v>2019</v>
      </c>
      <c r="C79" s="5">
        <f>F61</f>
        <v>2.7199999999999998E-2</v>
      </c>
      <c r="D79" s="5">
        <f>F67</f>
        <v>-4.7356282806803041E-3</v>
      </c>
    </row>
    <row r="80" spans="2:12" x14ac:dyDescent="0.2">
      <c r="B80">
        <v>2020</v>
      </c>
      <c r="C80" s="5">
        <f>G61</f>
        <v>1.12E-2</v>
      </c>
      <c r="D80" s="5">
        <f>G67</f>
        <v>7.8399999999999997E-2</v>
      </c>
    </row>
    <row r="81" spans="2:4" x14ac:dyDescent="0.2">
      <c r="B81">
        <v>2021</v>
      </c>
      <c r="C81" s="5">
        <f>H61</f>
        <v>-9.6115489253506992E-2</v>
      </c>
      <c r="D81" s="5">
        <f>H67</f>
        <v>-0.10968641029435933</v>
      </c>
    </row>
    <row r="82" spans="2:4" x14ac:dyDescent="0.2">
      <c r="B82">
        <v>2022</v>
      </c>
      <c r="C82" s="5">
        <f>I61</f>
        <v>-1.7174055252307863E-2</v>
      </c>
      <c r="D82" s="5">
        <f>I67</f>
        <v>-2.501101174910958E-2</v>
      </c>
    </row>
    <row r="83" spans="2:4" x14ac:dyDescent="0.2">
      <c r="B83">
        <v>2023</v>
      </c>
      <c r="C83" s="5">
        <f>J61</f>
        <v>-3.5776921905652737E-2</v>
      </c>
      <c r="D83" s="5">
        <f>J67</f>
        <v>-3.8215744338961133E-2</v>
      </c>
    </row>
    <row r="84" spans="2:4" x14ac:dyDescent="0.2">
      <c r="B84">
        <v>2024</v>
      </c>
      <c r="C84" s="5">
        <f>K61</f>
        <v>3.1754495947638794E-2</v>
      </c>
      <c r="D84" s="5">
        <f>K67</f>
        <v>3.1754495947638794E-2</v>
      </c>
    </row>
    <row r="85" spans="2:4" x14ac:dyDescent="0.2">
      <c r="B85">
        <v>2025</v>
      </c>
      <c r="C85" s="5">
        <f>L61</f>
        <v>0.121</v>
      </c>
      <c r="D85" s="5">
        <f>L67</f>
        <v>3.8699999999999998E-2</v>
      </c>
    </row>
    <row r="86" spans="2:4" x14ac:dyDescent="0.2">
      <c r="B86" t="s">
        <v>3046</v>
      </c>
      <c r="C86" s="5">
        <f>SUM(C77:C85)</f>
        <v>4.4323076903330927E-2</v>
      </c>
      <c r="D86" s="5">
        <f>SUM(D77:D85)</f>
        <v>-2.8013423848171834E-2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Avkastning - Analys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Returns</vt:lpstr>
      <vt:lpstr>Robustness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Kirollos Boushra</dc:creator>
  <cp:lastModifiedBy>Kirollos Boushra</cp:lastModifiedBy>
  <dcterms:created xsi:type="dcterms:W3CDTF">2026-03-22T12:27:50Z</dcterms:created>
  <dcterms:modified xsi:type="dcterms:W3CDTF">2026-05-01T22:14:50Z</dcterms:modified>
</cp:coreProperties>
</file>